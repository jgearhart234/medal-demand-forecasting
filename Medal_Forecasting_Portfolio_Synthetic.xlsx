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defaultThemeVersion="166925"/>
  <xr:revisionPtr revIDLastSave="16" documentId="8_{E264028B-B3A9-41DA-A7CF-F223D2601DED}" xr6:coauthVersionLast="47" xr6:coauthVersionMax="47" xr10:uidLastSave="{46C5B328-5332-4031-8A8F-2DE0E6EA28E8}"/>
  <bookViews>
    <workbookView xWindow="-108" yWindow="-108" windowWidth="23256" windowHeight="12456" tabRatio="880" activeTab="7" xr2:uid="{1F09CBC7-8482-8747-9E8F-75B3DA03EC9D}"/>
  </bookViews>
  <sheets>
    <sheet name="README" sheetId="13" r:id="rId1"/>
    <sheet name="Historical Data" sheetId="1" r:id="rId2"/>
    <sheet name="1st Division" sheetId="4" r:id="rId3"/>
    <sheet name="2nd Division" sheetId="8" r:id="rId4"/>
    <sheet name="3rd Division" sheetId="9" r:id="rId5"/>
    <sheet name="Model Comparison" sheetId="7" r:id="rId6"/>
    <sheet name="Inventory Analysis" sheetId="11" r:id="rId7"/>
    <sheet name="2027 Inventory Forecast" sheetId="10" r:id="rId8"/>
    <sheet name="Dashboard Data" sheetId="1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6" i="11" l="1"/>
  <c r="C17" i="11"/>
  <c r="C18" i="11"/>
  <c r="C15" i="11"/>
  <c r="G15" i="11" s="1"/>
  <c r="C14" i="11"/>
  <c r="C10" i="11"/>
  <c r="C11" i="11"/>
  <c r="G11" i="11" s="1"/>
  <c r="C12" i="11"/>
  <c r="C9" i="11"/>
  <c r="E2" i="11"/>
  <c r="C2" i="11" s="1"/>
  <c r="E3" i="11"/>
  <c r="E4" i="11"/>
  <c r="E5" i="11"/>
  <c r="E6" i="11"/>
  <c r="G6" i="11" s="1"/>
  <c r="H6" i="11"/>
  <c r="J6" i="11"/>
  <c r="K6" i="11"/>
  <c r="H7" i="11"/>
  <c r="J7" i="11"/>
  <c r="K7" i="11" s="1"/>
  <c r="M7" i="11" s="1"/>
  <c r="E8" i="11"/>
  <c r="E9" i="11"/>
  <c r="G9" i="11" s="1"/>
  <c r="E10" i="11"/>
  <c r="E11" i="11"/>
  <c r="E12" i="11"/>
  <c r="G12" i="11"/>
  <c r="H12" i="11"/>
  <c r="I12" i="11" s="1"/>
  <c r="J12" i="11"/>
  <c r="K12" i="11" s="1"/>
  <c r="H13" i="11"/>
  <c r="J13" i="11"/>
  <c r="K13" i="11" s="1"/>
  <c r="M13" i="11" s="1"/>
  <c r="E14" i="11"/>
  <c r="E15" i="11"/>
  <c r="E16" i="11"/>
  <c r="E17" i="11"/>
  <c r="E18" i="11"/>
  <c r="G18" i="11" s="1"/>
  <c r="H18" i="11"/>
  <c r="I18" i="11" s="1"/>
  <c r="J18" i="11"/>
  <c r="K18" i="11" s="1"/>
  <c r="H19" i="11"/>
  <c r="B14" i="9"/>
  <c r="B14" i="8"/>
  <c r="B14" i="4"/>
  <c r="B4" i="12"/>
  <c r="C4" i="11"/>
  <c r="G4" i="11" s="1"/>
  <c r="C5" i="11"/>
  <c r="G5" i="11" s="1"/>
  <c r="C6" i="11"/>
  <c r="I6" i="11" s="1"/>
  <c r="L6" i="11" s="1"/>
  <c r="C3" i="11"/>
  <c r="G3" i="11" s="1"/>
  <c r="C8" i="11"/>
  <c r="G8" i="11" s="1"/>
  <c r="B2" i="4"/>
  <c r="L3" i="4" s="1"/>
  <c r="B3" i="4"/>
  <c r="B4" i="4"/>
  <c r="B5" i="4"/>
  <c r="B6" i="4"/>
  <c r="B7" i="4"/>
  <c r="B8" i="4"/>
  <c r="B9" i="4"/>
  <c r="B10" i="4"/>
  <c r="B11" i="4"/>
  <c r="B3" i="9"/>
  <c r="B4" i="9"/>
  <c r="B5" i="9"/>
  <c r="B6" i="9"/>
  <c r="B7" i="9"/>
  <c r="B8" i="9"/>
  <c r="B9" i="9"/>
  <c r="B10" i="9"/>
  <c r="B11" i="9"/>
  <c r="B2" i="9"/>
  <c r="B3" i="8"/>
  <c r="B4" i="8"/>
  <c r="B5" i="8"/>
  <c r="B6" i="8"/>
  <c r="B7" i="8"/>
  <c r="G8" i="8" s="1"/>
  <c r="B8" i="8"/>
  <c r="B9" i="8"/>
  <c r="B10" i="8"/>
  <c r="B11" i="8"/>
  <c r="B2" i="8"/>
  <c r="L3" i="8" s="1"/>
  <c r="G17" i="11" l="1"/>
  <c r="G16" i="11"/>
  <c r="G10" i="11"/>
  <c r="L18" i="11"/>
  <c r="L12" i="11"/>
  <c r="J19" i="11"/>
  <c r="K19" i="11" s="1"/>
  <c r="M19" i="11" s="1"/>
  <c r="C14" i="4"/>
  <c r="F2" i="7" s="1"/>
  <c r="G6" i="9"/>
  <c r="P6" i="9" s="1"/>
  <c r="G10" i="9"/>
  <c r="P10" i="9" s="1"/>
  <c r="G14" i="9"/>
  <c r="G15" i="9" s="1"/>
  <c r="K4" i="7" s="1"/>
  <c r="G11" i="9"/>
  <c r="H11" i="9" s="1"/>
  <c r="I11" i="9" s="1"/>
  <c r="J11" i="9" s="1"/>
  <c r="G5" i="9"/>
  <c r="P5" i="9" s="1"/>
  <c r="C11" i="9"/>
  <c r="D11" i="9" s="1"/>
  <c r="E11" i="9" s="1"/>
  <c r="F11" i="9" s="1"/>
  <c r="G14" i="4"/>
  <c r="F3" i="7" s="1"/>
  <c r="G11" i="8"/>
  <c r="H11" i="8" s="1"/>
  <c r="I11" i="8" s="1"/>
  <c r="J11" i="8" s="1"/>
  <c r="G14" i="8"/>
  <c r="C14" i="8"/>
  <c r="G7" i="9"/>
  <c r="H7" i="9" s="1"/>
  <c r="I7" i="9" s="1"/>
  <c r="J7" i="9" s="1"/>
  <c r="C14" i="9"/>
  <c r="G8" i="9"/>
  <c r="P8" i="9" s="1"/>
  <c r="G9" i="9"/>
  <c r="P9" i="9" s="1"/>
  <c r="G14" i="11"/>
  <c r="C7" i="9"/>
  <c r="D7" i="9" s="1"/>
  <c r="E7" i="9" s="1"/>
  <c r="F7" i="9" s="1"/>
  <c r="C7" i="8"/>
  <c r="D7" i="8" s="1"/>
  <c r="E7" i="8" s="1"/>
  <c r="F7" i="8" s="1"/>
  <c r="C8" i="8"/>
  <c r="D8" i="8" s="1"/>
  <c r="E8" i="8" s="1"/>
  <c r="F8" i="8" s="1"/>
  <c r="C5" i="9"/>
  <c r="D5" i="9" s="1"/>
  <c r="C10" i="9"/>
  <c r="D10" i="9" s="1"/>
  <c r="E10" i="9" s="1"/>
  <c r="F10" i="9" s="1"/>
  <c r="L3" i="9"/>
  <c r="L4" i="9" s="1"/>
  <c r="L5" i="9" s="1"/>
  <c r="C8" i="9"/>
  <c r="D8" i="9" s="1"/>
  <c r="E8" i="9" s="1"/>
  <c r="F8" i="9" s="1"/>
  <c r="C6" i="9"/>
  <c r="D6" i="9" s="1"/>
  <c r="E6" i="9" s="1"/>
  <c r="F6" i="9" s="1"/>
  <c r="C9" i="9"/>
  <c r="D9" i="9" s="1"/>
  <c r="E9" i="9" s="1"/>
  <c r="F9" i="9" s="1"/>
  <c r="C5" i="8"/>
  <c r="D5" i="8" s="1"/>
  <c r="H8" i="8"/>
  <c r="I8" i="8" s="1"/>
  <c r="J8" i="8" s="1"/>
  <c r="C10" i="8"/>
  <c r="D10" i="8" s="1"/>
  <c r="E10" i="8" s="1"/>
  <c r="F10" i="8" s="1"/>
  <c r="G7" i="8"/>
  <c r="H7" i="8" s="1"/>
  <c r="I7" i="8" s="1"/>
  <c r="J7" i="8" s="1"/>
  <c r="G9" i="8"/>
  <c r="H9" i="8" s="1"/>
  <c r="I9" i="8" s="1"/>
  <c r="J9" i="8" s="1"/>
  <c r="G5" i="8"/>
  <c r="G10" i="8"/>
  <c r="H10" i="8" s="1"/>
  <c r="I10" i="8" s="1"/>
  <c r="J10" i="8" s="1"/>
  <c r="C11" i="8"/>
  <c r="D11" i="8" s="1"/>
  <c r="E11" i="8" s="1"/>
  <c r="F11" i="8" s="1"/>
  <c r="C6" i="8"/>
  <c r="D6" i="8" s="1"/>
  <c r="E6" i="8" s="1"/>
  <c r="F6" i="8" s="1"/>
  <c r="L4" i="8"/>
  <c r="L5" i="8" s="1"/>
  <c r="P5" i="8" s="1"/>
  <c r="C9" i="8"/>
  <c r="D9" i="8" s="1"/>
  <c r="E9" i="8" s="1"/>
  <c r="F9" i="8" s="1"/>
  <c r="G6" i="8"/>
  <c r="H6" i="8" s="1"/>
  <c r="I6" i="8" s="1"/>
  <c r="J6" i="8" s="1"/>
  <c r="L4" i="4"/>
  <c r="L5" i="4" s="1"/>
  <c r="P5" i="4" s="1"/>
  <c r="C6" i="4"/>
  <c r="D6" i="4" s="1"/>
  <c r="E6" i="4" s="1"/>
  <c r="F6" i="4" s="1"/>
  <c r="G7" i="4"/>
  <c r="H7" i="4" s="1"/>
  <c r="I7" i="4" s="1"/>
  <c r="J7" i="4" s="1"/>
  <c r="G9" i="4"/>
  <c r="H9" i="4" s="1"/>
  <c r="I9" i="4" s="1"/>
  <c r="J9" i="4" s="1"/>
  <c r="G6" i="4"/>
  <c r="H6" i="4" s="1"/>
  <c r="I6" i="4" s="1"/>
  <c r="J6" i="4" s="1"/>
  <c r="C9" i="4"/>
  <c r="D9" i="4" s="1"/>
  <c r="E9" i="4" s="1"/>
  <c r="F9" i="4" s="1"/>
  <c r="C5" i="4"/>
  <c r="D5" i="4" s="1"/>
  <c r="E5" i="4" s="1"/>
  <c r="F5" i="4" s="1"/>
  <c r="G8" i="4"/>
  <c r="H8" i="4" s="1"/>
  <c r="I8" i="4" s="1"/>
  <c r="J8" i="4" s="1"/>
  <c r="G10" i="4"/>
  <c r="H10" i="4" s="1"/>
  <c r="I10" i="4" s="1"/>
  <c r="J10" i="4" s="1"/>
  <c r="C10" i="4"/>
  <c r="D10" i="4" s="1"/>
  <c r="E10" i="4" s="1"/>
  <c r="F10" i="4" s="1"/>
  <c r="C8" i="4"/>
  <c r="D8" i="4" s="1"/>
  <c r="E8" i="4" s="1"/>
  <c r="F8" i="4" s="1"/>
  <c r="G5" i="4"/>
  <c r="G11" i="4"/>
  <c r="H11" i="4" s="1"/>
  <c r="I11" i="4" s="1"/>
  <c r="J11" i="4" s="1"/>
  <c r="C11" i="4"/>
  <c r="D11" i="4" s="1"/>
  <c r="C7" i="4"/>
  <c r="D7" i="4" s="1"/>
  <c r="E7" i="4" s="1"/>
  <c r="F7" i="4" s="1"/>
  <c r="H5" i="9" l="1"/>
  <c r="I5" i="9" s="1"/>
  <c r="H9" i="9"/>
  <c r="I9" i="9" s="1"/>
  <c r="J9" i="9" s="1"/>
  <c r="H10" i="9"/>
  <c r="I10" i="9" s="1"/>
  <c r="J10" i="9" s="1"/>
  <c r="P11" i="9"/>
  <c r="H8" i="9"/>
  <c r="I8" i="9" s="1"/>
  <c r="J8" i="9" s="1"/>
  <c r="P7" i="9"/>
  <c r="H6" i="9"/>
  <c r="I6" i="9" s="1"/>
  <c r="J6" i="9" s="1"/>
  <c r="M5" i="9"/>
  <c r="L6" i="9"/>
  <c r="F8" i="7"/>
  <c r="E5" i="9"/>
  <c r="D12" i="9"/>
  <c r="E8" i="7" s="1"/>
  <c r="F9" i="7"/>
  <c r="M5" i="8"/>
  <c r="N5" i="8" s="1"/>
  <c r="L6" i="8"/>
  <c r="H5" i="8"/>
  <c r="F6" i="7"/>
  <c r="E5" i="8"/>
  <c r="D12" i="8"/>
  <c r="E5" i="7" s="1"/>
  <c r="F5" i="7"/>
  <c r="L6" i="4"/>
  <c r="P6" i="4" s="1"/>
  <c r="M5" i="4"/>
  <c r="H5" i="4"/>
  <c r="E11" i="4"/>
  <c r="D12" i="4"/>
  <c r="E2" i="7" s="1"/>
  <c r="M19" i="9" l="1"/>
  <c r="M18" i="9"/>
  <c r="N5" i="12"/>
  <c r="M17" i="9"/>
  <c r="H12" i="9"/>
  <c r="E9" i="7" s="1"/>
  <c r="L7" i="8"/>
  <c r="M7" i="8" s="1"/>
  <c r="N7" i="8" s="1"/>
  <c r="O7" i="8" s="1"/>
  <c r="P6" i="8"/>
  <c r="M6" i="8"/>
  <c r="N6" i="8" s="1"/>
  <c r="O6" i="8" s="1"/>
  <c r="N5" i="9"/>
  <c r="F5" i="9"/>
  <c r="F12" i="9" s="1"/>
  <c r="D8" i="7" s="1"/>
  <c r="E12" i="9"/>
  <c r="C8" i="7" s="1"/>
  <c r="L7" i="9"/>
  <c r="M6" i="9"/>
  <c r="N6" i="9" s="1"/>
  <c r="O6" i="9" s="1"/>
  <c r="J5" i="9"/>
  <c r="J12" i="9" s="1"/>
  <c r="D9" i="7" s="1"/>
  <c r="I12" i="9"/>
  <c r="C9" i="7" s="1"/>
  <c r="F5" i="8"/>
  <c r="F12" i="8" s="1"/>
  <c r="D5" i="7" s="1"/>
  <c r="E12" i="8"/>
  <c r="C5" i="7" s="1"/>
  <c r="I5" i="8"/>
  <c r="H12" i="8"/>
  <c r="E6" i="7" s="1"/>
  <c r="O5" i="8"/>
  <c r="N5" i="4"/>
  <c r="L7" i="4"/>
  <c r="P7" i="4" s="1"/>
  <c r="M6" i="4"/>
  <c r="N6" i="4" s="1"/>
  <c r="O6" i="4" s="1"/>
  <c r="H12" i="4"/>
  <c r="E3" i="7" s="1"/>
  <c r="I5" i="4"/>
  <c r="F11" i="4"/>
  <c r="F12" i="4" s="1"/>
  <c r="D2" i="7" s="1"/>
  <c r="E12" i="4"/>
  <c r="C2" i="7" s="1"/>
  <c r="L8" i="8" l="1"/>
  <c r="P7" i="8"/>
  <c r="O5" i="9"/>
  <c r="M7" i="9"/>
  <c r="N7" i="9" s="1"/>
  <c r="O7" i="9" s="1"/>
  <c r="L8" i="9"/>
  <c r="J5" i="8"/>
  <c r="J12" i="8" s="1"/>
  <c r="D6" i="7" s="1"/>
  <c r="I12" i="8"/>
  <c r="C6" i="7" s="1"/>
  <c r="L8" i="4"/>
  <c r="P8" i="4" s="1"/>
  <c r="M7" i="4"/>
  <c r="O5" i="4"/>
  <c r="J5" i="4"/>
  <c r="J12" i="4" s="1"/>
  <c r="D3" i="7" s="1"/>
  <c r="I12" i="4"/>
  <c r="C3" i="7" s="1"/>
  <c r="L9" i="8" l="1"/>
  <c r="P8" i="8"/>
  <c r="M8" i="8"/>
  <c r="N8" i="8" s="1"/>
  <c r="O8" i="8" s="1"/>
  <c r="L9" i="9"/>
  <c r="M8" i="9"/>
  <c r="N7" i="4"/>
  <c r="L9" i="4"/>
  <c r="P9" i="4" s="1"/>
  <c r="M8" i="4"/>
  <c r="N8" i="4" s="1"/>
  <c r="O8" i="4" s="1"/>
  <c r="P9" i="8" l="1"/>
  <c r="M9" i="8"/>
  <c r="N9" i="8" s="1"/>
  <c r="O9" i="8" s="1"/>
  <c r="L10" i="8"/>
  <c r="N8" i="9"/>
  <c r="M9" i="9"/>
  <c r="N9" i="9" s="1"/>
  <c r="O9" i="9" s="1"/>
  <c r="L10" i="9"/>
  <c r="L10" i="4"/>
  <c r="P10" i="4" s="1"/>
  <c r="M9" i="4"/>
  <c r="N9" i="4" s="1"/>
  <c r="O9" i="4" s="1"/>
  <c r="O7" i="4"/>
  <c r="P10" i="8" l="1"/>
  <c r="M10" i="8"/>
  <c r="L11" i="8"/>
  <c r="O8" i="9"/>
  <c r="L11" i="9"/>
  <c r="M10" i="9"/>
  <c r="N10" i="9" s="1"/>
  <c r="O10" i="9" s="1"/>
  <c r="L11" i="4"/>
  <c r="M10" i="4"/>
  <c r="L14" i="4" l="1"/>
  <c r="L15" i="4" s="1"/>
  <c r="K2" i="7" s="1"/>
  <c r="P11" i="4"/>
  <c r="P11" i="8"/>
  <c r="M19" i="8" s="1"/>
  <c r="L14" i="8"/>
  <c r="M11" i="8"/>
  <c r="N11" i="8" s="1"/>
  <c r="O11" i="8" s="1"/>
  <c r="N10" i="8"/>
  <c r="M11" i="9"/>
  <c r="L14" i="9"/>
  <c r="F10" i="7" s="1"/>
  <c r="N10" i="4"/>
  <c r="M11" i="4"/>
  <c r="N11" i="4" s="1"/>
  <c r="O11" i="4" s="1"/>
  <c r="M12" i="8" l="1"/>
  <c r="E7" i="7" s="1"/>
  <c r="M20" i="8"/>
  <c r="O10" i="8"/>
  <c r="O12" i="8" s="1"/>
  <c r="D7" i="7" s="1"/>
  <c r="N12" i="8"/>
  <c r="C7" i="7" s="1"/>
  <c r="L15" i="8"/>
  <c r="K3" i="7" s="1"/>
  <c r="F7" i="7"/>
  <c r="N4" i="12"/>
  <c r="M18" i="8"/>
  <c r="M21" i="4"/>
  <c r="M20" i="4"/>
  <c r="N3" i="12"/>
  <c r="M19" i="4"/>
  <c r="F4" i="7"/>
  <c r="N11" i="9"/>
  <c r="M12" i="9"/>
  <c r="E10" i="7" s="1"/>
  <c r="M12" i="4"/>
  <c r="E4" i="7" s="1"/>
  <c r="O10" i="4"/>
  <c r="O12" i="4" s="1"/>
  <c r="D4" i="7" s="1"/>
  <c r="N12" i="4"/>
  <c r="C4" i="7" s="1"/>
  <c r="Y4" i="4" s="1"/>
  <c r="G5" i="7" l="1"/>
  <c r="Y4" i="8"/>
  <c r="G6" i="7"/>
  <c r="G7" i="7"/>
  <c r="G4" i="7"/>
  <c r="G3" i="7"/>
  <c r="G2" i="7"/>
  <c r="O11" i="9"/>
  <c r="O12" i="9" s="1"/>
  <c r="D10" i="7" s="1"/>
  <c r="N12" i="9"/>
  <c r="C10" i="7" s="1"/>
  <c r="J3" i="7" l="1"/>
  <c r="U4" i="8"/>
  <c r="J2" i="7"/>
  <c r="Q4" i="4" s="1"/>
  <c r="G10" i="7"/>
  <c r="G9" i="7"/>
  <c r="G8" i="7"/>
  <c r="Y4" i="9"/>
  <c r="U4" i="4"/>
  <c r="Q4" i="8" l="1"/>
  <c r="M3" i="12"/>
  <c r="O3" i="12" s="1"/>
  <c r="E34" i="10" s="1"/>
  <c r="C7" i="11"/>
  <c r="N7" i="11" s="1"/>
  <c r="U4" i="9"/>
  <c r="J4" i="7"/>
  <c r="C13" i="11" l="1"/>
  <c r="N13" i="11" s="1"/>
  <c r="M4" i="12"/>
  <c r="O4" i="12" s="1"/>
  <c r="E35" i="10" s="1"/>
  <c r="P13" i="11"/>
  <c r="P7" i="11"/>
  <c r="Q7" i="11" s="1"/>
  <c r="M5" i="12"/>
  <c r="O5" i="12" s="1"/>
  <c r="E36" i="10" s="1"/>
  <c r="Q4" i="9"/>
  <c r="C19" i="11"/>
  <c r="N19" i="11" s="1"/>
  <c r="Q13" i="11" l="1"/>
  <c r="J3" i="12"/>
  <c r="P19" i="11"/>
  <c r="Q19" i="11" s="1"/>
  <c r="R7" i="11"/>
  <c r="I4" i="12" l="1"/>
  <c r="O13" i="11"/>
  <c r="L13" i="11" s="1"/>
  <c r="J4" i="12"/>
  <c r="P4" i="12"/>
  <c r="I35" i="10" s="1"/>
  <c r="R13" i="11"/>
  <c r="J5" i="12"/>
  <c r="E3" i="12"/>
  <c r="G7" i="10" s="1"/>
  <c r="P3" i="12"/>
  <c r="I34" i="10" s="1"/>
  <c r="O7" i="11"/>
  <c r="L7" i="11" s="1"/>
  <c r="I3" i="12"/>
  <c r="R19" i="11"/>
  <c r="F3" i="12" l="1"/>
  <c r="G12" i="10" s="1"/>
  <c r="O19" i="11"/>
  <c r="L19" i="11" s="1"/>
  <c r="I5" i="12"/>
  <c r="E2" i="12"/>
  <c r="F2" i="12" s="1"/>
  <c r="P5" i="12"/>
  <c r="I36" i="10" s="1"/>
  <c r="A7" i="10" l="1"/>
  <c r="A12" i="10"/>
  <c r="F6" i="12"/>
  <c r="H18" i="10" s="1"/>
  <c r="E5" i="12"/>
  <c r="F7" i="12" s="1"/>
  <c r="K24" i="10" s="1"/>
  <c r="A43" i="10" l="1"/>
  <c r="K22" i="10"/>
</calcChain>
</file>

<file path=xl/sharedStrings.xml><?xml version="1.0" encoding="utf-8"?>
<sst xmlns="http://schemas.openxmlformats.org/spreadsheetml/2006/main" count="321" uniqueCount="149">
  <si>
    <t>1st Division</t>
  </si>
  <si>
    <t>2nd Division</t>
  </si>
  <si>
    <t>3rd Division</t>
  </si>
  <si>
    <t>1A</t>
  </si>
  <si>
    <t>2A</t>
  </si>
  <si>
    <t>3A</t>
  </si>
  <si>
    <t>4A</t>
  </si>
  <si>
    <t>5A</t>
  </si>
  <si>
    <t>6A</t>
  </si>
  <si>
    <t>7A</t>
  </si>
  <si>
    <t>Ordered:</t>
  </si>
  <si>
    <t>Left Over:</t>
  </si>
  <si>
    <t>Year</t>
  </si>
  <si>
    <t>Actual Demand</t>
  </si>
  <si>
    <t>Error</t>
  </si>
  <si>
    <t>Absolute Error</t>
  </si>
  <si>
    <t>Absolute % Error</t>
  </si>
  <si>
    <t>Weighted Forecast</t>
  </si>
  <si>
    <t>Average Forecast</t>
  </si>
  <si>
    <t>Alpha</t>
  </si>
  <si>
    <t>Exponential Smoothing</t>
  </si>
  <si>
    <t>2016</t>
  </si>
  <si>
    <t>2017</t>
  </si>
  <si>
    <t>2018</t>
  </si>
  <si>
    <t>2019</t>
  </si>
  <si>
    <t>2020</t>
  </si>
  <si>
    <t>2021</t>
  </si>
  <si>
    <t>2022</t>
  </si>
  <si>
    <t>2023</t>
  </si>
  <si>
    <t>2024</t>
  </si>
  <si>
    <t>2025</t>
  </si>
  <si>
    <t>2026</t>
  </si>
  <si>
    <t>Classification</t>
  </si>
  <si>
    <t>Medal Type</t>
  </si>
  <si>
    <t>First</t>
  </si>
  <si>
    <t>Second</t>
  </si>
  <si>
    <t>Third</t>
  </si>
  <si>
    <t>Division</t>
  </si>
  <si>
    <t>Forecasting Model</t>
  </si>
  <si>
    <t>MAE</t>
  </si>
  <si>
    <t>MAPE</t>
  </si>
  <si>
    <t>Bias</t>
  </si>
  <si>
    <t>2026 Forecast</t>
  </si>
  <si>
    <t>1st</t>
  </si>
  <si>
    <t>2nd</t>
  </si>
  <si>
    <t>3rd</t>
  </si>
  <si>
    <t>3-Year Moving Average</t>
  </si>
  <si>
    <t>Weighted Moving Average</t>
  </si>
  <si>
    <t>Best Model?</t>
  </si>
  <si>
    <t>2026 FORECAST</t>
  </si>
  <si>
    <t>BEST MODEL</t>
  </si>
  <si>
    <t>HISTORICAL MAE</t>
  </si>
  <si>
    <t>Forecast Demand</t>
  </si>
  <si>
    <t>Beginning Inventory</t>
  </si>
  <si>
    <t>Medals Purchased</t>
  </si>
  <si>
    <t>Medals Awarded</t>
  </si>
  <si>
    <t>Ending Inventory</t>
  </si>
  <si>
    <t>Inventory Adjustment</t>
  </si>
  <si>
    <t>Projected Ending Inventory</t>
  </si>
  <si>
    <t>Historical MAE</t>
  </si>
  <si>
    <t>Safety Stock</t>
  </si>
  <si>
    <t>Risk-Adjusted Ending Inventory</t>
  </si>
  <si>
    <t>2027 Forecast</t>
  </si>
  <si>
    <t>Target Inventory</t>
  </si>
  <si>
    <t>Recommended Purchase</t>
  </si>
  <si>
    <t>Projected Ending After Purchase</t>
  </si>
  <si>
    <t>Largest Underforecast</t>
  </si>
  <si>
    <t>Average Underforecast</t>
  </si>
  <si>
    <t>Historical Coverage</t>
  </si>
  <si>
    <t>Maximum Underforecast</t>
  </si>
  <si>
    <t>Conservative Safety Stock</t>
  </si>
  <si>
    <t>Conservative Recommended Purchase</t>
  </si>
  <si>
    <t>Additional Medals</t>
  </si>
  <si>
    <t>Description</t>
  </si>
  <si>
    <t>Value</t>
  </si>
  <si>
    <t>Base Medal Cost</t>
  </si>
  <si>
    <t>Estimated Shipping per Medal</t>
  </si>
  <si>
    <t>Estimated Landing Cost</t>
  </si>
  <si>
    <t>Purchasing Scenario</t>
  </si>
  <si>
    <t>Medals to Purchase</t>
  </si>
  <si>
    <t>Estimated Cost</t>
  </si>
  <si>
    <t>Baseline</t>
  </si>
  <si>
    <t>Conservative</t>
  </si>
  <si>
    <t>Additional Estimated Cost</t>
  </si>
  <si>
    <t>Percentage Increase</t>
  </si>
  <si>
    <t>2027 Medal Purchasing Forecast</t>
  </si>
  <si>
    <t>BASELINE RECOMMENDATION</t>
  </si>
  <si>
    <t>CONSERVATIVE ALTERNATIVE</t>
  </si>
  <si>
    <t>COST OF ADDITIONAL PROTECTION</t>
  </si>
  <si>
    <t>Additional estimated cost</t>
  </si>
  <si>
    <t>Purchase Increase</t>
  </si>
  <si>
    <t>Additional Protection Against Historical Underforecasting</t>
  </si>
  <si>
    <t>Baseline Safety Stock</t>
  </si>
  <si>
    <t>Historical Forecast Risk | 2019-2025</t>
  </si>
  <si>
    <t>Baseline Coverage</t>
  </si>
  <si>
    <t>Historical coverage reflects the percentage of years (2019-2025) in which baseline safety stock would have absorbed forecast underestimation. Future results may differ.</t>
  </si>
  <si>
    <t>2027 PURCHASING RECOMMENDATION</t>
  </si>
  <si>
    <t>Forecast Assumptions &amp; Methodology</t>
  </si>
  <si>
    <t>Forecast Period</t>
  </si>
  <si>
    <t>Historical Evaluation</t>
  </si>
  <si>
    <t>Estimated Landed Unit Cost</t>
  </si>
  <si>
    <t>2027 (preliminary)</t>
  </si>
  <si>
    <t>2019-2025</t>
  </si>
  <si>
    <t>2 x MAE, rounded up</t>
  </si>
  <si>
    <t>Greater of baseline buffer or maximum historical underforecast</t>
  </si>
  <si>
    <t>2026 demand and ending inventory are prelimary projections. Actual results will replace these estimates after the contest and inventory reconciliation.</t>
  </si>
  <si>
    <t>The 2027 forecast carries forward the 2026 exponential smoothing forecast because actual 2026 demand is not yet available. Once 2026 actual demand is recorded, the 2027 forecast should be recalculated using the updated smoothing equation.</t>
  </si>
  <si>
    <t>State Marching Contest Medal Demand Forecasting &amp; Inventory Optimization</t>
  </si>
  <si>
    <t>Project Overview</t>
  </si>
  <si>
    <t>This project uses historical medal demand, forecasting models, and inventory analysis to develop data-driven purchasing recommendations for an annual state marching contest. The objective is to balance sufficient medal availability with responsible purcahsing and inventory management</t>
  </si>
  <si>
    <t>Business Problem</t>
  </si>
  <si>
    <t>Data Sources and Historical Coverage</t>
  </si>
  <si>
    <t>Forecasting Methodology</t>
  </si>
  <si>
    <t>Selected Model</t>
  </si>
  <si>
    <t>Parameters</t>
  </si>
  <si>
    <t>α = 0.5</t>
  </si>
  <si>
    <t>0.5 / 0.3 / 0.2</t>
  </si>
  <si>
    <t>Inventory Optimization Methodology</t>
  </si>
  <si>
    <t>Purchasing Calculations</t>
  </si>
  <si>
    <t>Calculation</t>
  </si>
  <si>
    <t>Formula</t>
  </si>
  <si>
    <t>Rounded Demand</t>
  </si>
  <si>
    <t>ROUNDUP(Forecast Demand, 0)</t>
  </si>
  <si>
    <t>ROUNDUP(2 x Historical MAE, 0)</t>
  </si>
  <si>
    <t>MAX(Baseline Safety Stock, Maximum Historical Underforecast)</t>
  </si>
  <si>
    <t>MAX(0, Rounded Demand + Safety Stock - Beginning Inventory)</t>
  </si>
  <si>
    <t>Post-Contest Update Process</t>
  </si>
  <si>
    <t>Key Findings &amp; Business Impact</t>
  </si>
  <si>
    <t>Assumptions &amp; Limitations</t>
  </si>
  <si>
    <t>Technical Skills &amp; Project Conclusion</t>
  </si>
  <si>
    <t>Project Conclusion</t>
  </si>
  <si>
    <t/>
  </si>
  <si>
    <t>Based on the synthetic 2027 demand forecasts and projected beginning inventory, the baseline purchasing scenario recommends 2,039 medals at an estimated cost of $6,117. The conservative scenario recommends 2,213 medals at an estimated cost of $6,639. For an additional $522 (approximately 8.5%), the conservative scenario provides 174 additional medals to help mitigate the risk of demand exceeding forecasts. These recommendations demonstrate how forecasting accuracy, inventory availability, and purchasing costs can be evaluated together to support transparent, data-driven purchasing decisions. All demand, inventory, purchasing, and cost figures are fictional and used solely for portfolio demonstration purposes.</t>
  </si>
  <si>
    <t>This project uses an entirely synthetic dataset representing fictional marching contest medal demand from 2016–2025, organized by year, classification, and medal division (1st, 2nd, and 3rd). All historical demand, purchasing quantities, inventory balances, and cost assumptions are fictional and were created for portfolio demonstration purposes. Historical medal demand is aggregated across classifications to produce division-level forecasts. The dataset incorporates a simulated expansion from five classifications to seven in 2018, demonstrating how changes in data structure can be accommodated in historical analysis. Forecasting models are evaluated using historical observations from 2019–2025. The workbook also includes fictional 2026 purchasing plans and preliminary 2027 inventory recommendations. The model is designed to incorporate future actual demand and inventory results, allowing purchasing recommendations to be recalculated as new information becomes available.</t>
  </si>
  <si>
    <t>A fictional statewide marching contest must make advance purchasing decisions for three medal divisions. Ordering too few medals creates a risk of shortages, potentially leaving participants without awards, while ordering too many increases purchasing costs and creates excess inventory. Because unused medals can be carried forward into future years, purchasing decisions must account for historical demand, available inventory, and uncertainty in future demand. This project addresses that challenge by comparing forecasting methods and translating projected demand into actionable purchasing recommendations under baseline and conservative inventory scenarios.</t>
  </si>
  <si>
    <t>Three forecasting approaches were evaluated: 3-Year Simple Moving Average, Weighted Moving Average, and Simple Exponential Smoothing. Each method was assessed using historical forecast performance from 2019–2025, including Mean Absolute Error (MAE), Mean Absolute Percentage Error (MAPE), and Forecast Bias. Rather than applying a single forecasting method across all medal divisions, the analysis evaluates model performance independently for each division. Model selection prioritizes lower MAE and MAPE while considering forecast bias and the operational risks associated with underestimating demand. The selected models generate preliminary demand forecasts for 2026 and 2027. These forecasts are incorporated into inventory planning calculations that account for beginning inventory, projected medal demand, safety stock, and alternative purchasing scenarios. The resulting recommendations help quantify the trade-off between inventory availability and purchasing costs.</t>
  </si>
  <si>
    <t>Forecasted medal demand is combined with projected beginning inventory and safety stock to calculate recommended purchasing quantities. Because unused medals can be carried forward into subsequent years, the model accounts for available inventory before recommending additional purchases. Projected ending inventory from 2026 becomes the estimated beginning inventory for 2027, allowing purchasing decisions to reflect inventory already on hand. Safety stock is informed by historical forecasting errors to provide a buffer against demand exceeding expectations. The model evaluates two purchasing scenarios:
- Baseline Scenario: Uses twice the historical Mean Absolute Error (MAE) as the safety stock target.
- Conservative Scenario: Uses the greater of the baseline safety stock target or the largest historical underforecast.
These scenarios allow decision-makers to evaluate the additional purchasing cost associated with greater inventory protection. The safety stock assumptions are illustrative planning rules and do not guarantee that shortages will be eliminated.</t>
  </si>
  <si>
    <t>Recommended purchase quantities are calculated by rounding forecast demand up to the nearest whole medal, adding the applicable safety stock target, and subtracting projected beginning inventory. Purchase recommendations cannot be negative, ensuring that sufficient existing inventory results in a recommendation of zero additional medals.
Recommended Purchases = MAX(0, Rounded Forecast Demand + Safety Stock − Projected Beginning Inventory)
The baseline scenario uses safety stock equal to twice the historical Mean Absolute Error (MAE), while the conservative scenario uses the greater of baseline safety stock or the largest historical underforecast. All recommended purchase quantities are expressed as whole medals.</t>
  </si>
  <si>
    <t>After the fictional 2026 marching contest, enter the actual medals awarded for each classification and medal division in the `Historical Data` worksheet. All 21 classification-level values must be entered, including zeros where applicable, before complete actual demand totals are available.
Next, enter the physically verified ending inventory for each medal division in the `Inventory Analysis` worksheet. The workbook compares actual ending inventory against the expected balance calculated from beginning inventory, purchases, and medals awarded. Any discrepancies are identified as inventory adjustments for investigation.
Once actual demand and inventory results are entered, the selected forecasting models update the 2027 demand forecasts, and the purchasing recommendations automatically recalculate using the verified inventory balances.
For portfolio demonstration purposes, any future results entered into this workbook should also be fictional or otherwise authorized for public use.</t>
  </si>
  <si>
    <t>This project uses entirely synthetic historical demand, purchasing, and inventory data to demonstrate forecasting and inventory planning techniques. The analysis assumes that historical demand patterns provide a reasonable basis for estimating future demand. Forecast accuracy may be affected by changes in contest participation, classification structures, or other factors not explicitly incorporated into the models. Safety stock is calculated using historical forecast errors rather than a statistically guaranteed service level. Consequently, neither purchasing scenario eliminates the possibility of shortages. The analysis assumes unused medals remain available for future contests and that recorded inventory quantities are accurate. Estimated purchasing costs use a fictional unit cost of $3.00 per medal, consisting of a $2.85 medal price and a $0.15 shipping allowance. These amounts are illustrative and do not represent actual vendor pricing. The preliminary 2027 purchasing recommendations rely on projected 2026 ending inventory. Once actual 2026 demand and physical inventory counts become available, the recommendations should be recalculated before purchasing decisions are finalized.</t>
  </si>
  <si>
    <r>
      <t xml:space="preserve">Microsoft Excel: </t>
    </r>
    <r>
      <rPr>
        <sz val="12"/>
        <color theme="1"/>
        <rFont val="Calibri"/>
        <family val="2"/>
        <scheme val="minor"/>
      </rPr>
      <t>Structured tables, SUMIF, INDEX/MATCH, IF statements, conditional logic, dynamic worksheet references, and formula-driven calculations across multiple worksheets.</t>
    </r>
  </si>
  <si>
    <r>
      <t xml:space="preserve">Forecasting &amp; Statistical Analysis: </t>
    </r>
    <r>
      <rPr>
        <sz val="12"/>
        <color theme="1"/>
        <rFont val="Calibri"/>
        <family val="2"/>
        <scheme val="minor"/>
      </rPr>
      <t>3-Year Simple Moving Average, Weighted Moving Average, Simple Exponential Smoothing, historical forecast evaluation, Mean Absolute Error (MAE), Mean Absolute Percentage Error (MAPE), and forecast bias analysis.</t>
    </r>
  </si>
  <si>
    <r>
      <t xml:space="preserve">Inventory &amp; Financial Analysis: </t>
    </r>
    <r>
      <rPr>
        <sz val="12"/>
        <color theme="1"/>
        <rFont val="Calibri"/>
        <family val="2"/>
        <scheme val="minor"/>
      </rPr>
      <t>Inventory reconciliation, projected inventory balances, safety stock calculations, demand-based purchasing recommendations, scenario analysis, and purchasing cost estimation.</t>
    </r>
  </si>
  <si>
    <r>
      <t xml:space="preserve">Data Visualization &amp; Decision Support: </t>
    </r>
    <r>
      <rPr>
        <sz val="12"/>
        <color theme="1"/>
        <rFont val="Calibri"/>
        <family val="2"/>
        <scheme val="minor"/>
      </rPr>
      <t>Executive dashboard development, KPI reporting, historical forecasting risk analysis, and automated purchasing recommendations that support data-driven decision-making.</t>
    </r>
  </si>
  <si>
    <t>This project demonstrates how synthetic historical data can be transformed into a repeatable forecasting and inventory planning solution. By evaluating multiple forecasting methods, accounting for existing inventory, and comparing alternative purchasing scenarios, the workbook translates analytical results into actionable recommendations. The model is designed to incorporate new demand observations and verified inventory balances, allowing forecasts and purchasing recommendations to evolve as additional information becomes available. Ultimately, this project demonstrates how forecasting, inventory management, and financial analysis can work together to support informed, data-driven operational decisions.</t>
  </si>
  <si>
    <t>Executive Dashboard | Synthetic Data | Preliminary Purchasing Recommendations</t>
  </si>
  <si>
    <t>$3.00 per medal</t>
  </si>
  <si>
    <t>Preliminary estimates based on historical demand and forecasting errors. Update purchasing recommendations after 2026 actual demand, inventory reconciliation, and vendor pricing are confirmed.</t>
  </si>
  <si>
    <t>2027 purchasing quantities are preliminary. Recalculate after 2026 actual demand, inventory reconciliation, and updated vendor pricing becomes available. Shipping estimates are based on prior-years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</si>
</sst>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
  </numFmts>
  <fonts count="29" x14ac:knownFonts="1">
    <font>
      <sz val="12"/>
      <color theme="1"/>
      <name val="Calibri"/>
      <family val="2"/>
      <scheme val="minor"/>
    </font>
    <font>
      <sz val="11"/>
      <color theme="1"/>
      <name val="Calibri"/>
      <family val="2"/>
      <scheme val="minor"/>
    </font>
    <font>
      <sz val="12"/>
      <color rgb="FF000000"/>
      <name val="Calibri"/>
      <family val="2"/>
      <scheme val="minor"/>
    </font>
    <font>
      <b/>
      <i/>
      <u/>
      <sz val="12"/>
      <color theme="1"/>
      <name val="Calibri"/>
      <family val="2"/>
      <scheme val="minor"/>
    </font>
    <font>
      <sz val="12"/>
      <color theme="1"/>
      <name val="Calibri"/>
      <family val="2"/>
      <scheme val="minor"/>
    </font>
    <font>
      <b/>
      <sz val="11"/>
      <color theme="1"/>
      <name val="Calibri"/>
      <family val="2"/>
      <scheme val="minor"/>
    </font>
    <font>
      <b/>
      <sz val="26"/>
      <color theme="1"/>
      <name val="Calibri"/>
      <family val="2"/>
      <scheme val="minor"/>
    </font>
    <font>
      <b/>
      <sz val="14"/>
      <color theme="1"/>
      <name val="Calibri"/>
      <family val="2"/>
      <scheme val="minor"/>
    </font>
    <font>
      <b/>
      <sz val="16"/>
      <color theme="1"/>
      <name val="Calibri"/>
      <family val="2"/>
      <scheme val="minor"/>
    </font>
    <font>
      <sz val="8"/>
      <name val="Calibri"/>
      <family val="2"/>
      <scheme val="minor"/>
    </font>
    <font>
      <b/>
      <sz val="11"/>
      <color theme="0"/>
      <name val="Calibri"/>
      <family val="2"/>
      <scheme val="minor"/>
    </font>
    <font>
      <b/>
      <sz val="20"/>
      <color theme="0"/>
      <name val="Calibri"/>
      <family val="2"/>
      <scheme val="minor"/>
    </font>
    <font>
      <b/>
      <sz val="11"/>
      <color rgb="FF142B45"/>
      <name val="Calibri"/>
      <family val="2"/>
      <scheme val="minor"/>
    </font>
    <font>
      <b/>
      <sz val="28"/>
      <color rgb="FF000080"/>
      <name val="Calibri"/>
      <family val="2"/>
      <scheme val="minor"/>
    </font>
    <font>
      <sz val="10"/>
      <color theme="1"/>
      <name val="Calibri"/>
      <family val="2"/>
      <scheme val="minor"/>
    </font>
    <font>
      <sz val="10"/>
      <color rgb="FF64748B"/>
      <name val="Calibri"/>
      <family val="2"/>
      <scheme val="minor"/>
    </font>
    <font>
      <b/>
      <sz val="24"/>
      <color rgb="FF16A085"/>
      <name val="Calibri"/>
      <family val="2"/>
      <scheme val="minor"/>
    </font>
    <font>
      <sz val="11"/>
      <color rgb="FFA9A9A9"/>
      <name val="Calibri"/>
      <family val="2"/>
      <scheme val="minor"/>
    </font>
    <font>
      <b/>
      <sz val="13"/>
      <color rgb="FF142B45"/>
      <name val="Calibri"/>
      <family val="2"/>
      <scheme val="minor"/>
    </font>
    <font>
      <sz val="9"/>
      <color rgb="FFA9A9A9"/>
      <name val="Calibri"/>
      <family val="2"/>
      <scheme val="minor"/>
    </font>
    <font>
      <b/>
      <sz val="14"/>
      <color theme="0"/>
      <name val="Calibri"/>
      <family val="2"/>
      <scheme val="minor"/>
    </font>
    <font>
      <b/>
      <sz val="12"/>
      <color rgb="FF000080"/>
      <name val="Calibri"/>
      <family val="2"/>
      <scheme val="minor"/>
    </font>
    <font>
      <b/>
      <sz val="12"/>
      <color rgb="FF16A085"/>
      <name val="Calibri"/>
      <family val="2"/>
      <scheme val="minor"/>
    </font>
    <font>
      <i/>
      <sz val="12"/>
      <color rgb="FFA9A9A9"/>
      <name val="Calibri"/>
      <family val="2"/>
      <scheme val="minor"/>
    </font>
    <font>
      <b/>
      <sz val="12"/>
      <color theme="0"/>
      <name val="Calibri"/>
      <family val="2"/>
      <scheme val="minor"/>
    </font>
    <font>
      <b/>
      <sz val="12"/>
      <color theme="1"/>
      <name val="Calibri"/>
      <family val="2"/>
      <scheme val="minor"/>
    </font>
    <font>
      <b/>
      <sz val="20"/>
      <color rgb="FF142B45"/>
      <name val="Calibri"/>
      <family val="2"/>
      <scheme val="minor"/>
    </font>
    <font>
      <b/>
      <sz val="14"/>
      <color rgb="FF16A085"/>
      <name val="Calibri"/>
      <family val="2"/>
      <scheme val="minor"/>
    </font>
    <font>
      <sz val="12"/>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142B45"/>
        <bgColor indexed="64"/>
      </patternFill>
    </fill>
    <fill>
      <patternFill patternType="solid">
        <fgColor rgb="FFF1F5F9"/>
        <bgColor indexed="64"/>
      </patternFill>
    </fill>
    <fill>
      <patternFill patternType="solid">
        <fgColor rgb="FFE2E8F0"/>
        <bgColor indexed="64"/>
      </patternFill>
    </fill>
    <fill>
      <patternFill patternType="solid">
        <fgColor theme="0"/>
        <bgColor indexed="64"/>
      </patternFill>
    </fill>
    <fill>
      <patternFill patternType="solid">
        <fgColor rgb="FFE6F4F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bottom style="thin">
        <color rgb="FF16A085"/>
      </bottom>
      <diagonal/>
    </border>
    <border>
      <left style="thin">
        <color auto="1"/>
      </left>
      <right/>
      <top style="thin">
        <color auto="1"/>
      </top>
      <bottom/>
      <diagonal/>
    </border>
    <border>
      <left/>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top style="thin">
        <color theme="4" tint="0.39997558519241921"/>
      </top>
      <bottom style="thin">
        <color theme="4" tint="0.39997558519241921"/>
      </bottom>
      <diagonal/>
    </border>
    <border>
      <left style="thin">
        <color indexed="64"/>
      </left>
      <right/>
      <top style="thin">
        <color auto="1"/>
      </top>
      <bottom style="thin">
        <color auto="1"/>
      </bottom>
      <diagonal/>
    </border>
    <border>
      <left/>
      <right style="thin">
        <color indexed="64"/>
      </right>
      <top style="thin">
        <color auto="1"/>
      </top>
      <bottom style="thin">
        <color auto="1"/>
      </bottom>
      <diagonal/>
    </border>
  </borders>
  <cellStyleXfs count="2">
    <xf numFmtId="0" fontId="0" fillId="0" borderId="0"/>
    <xf numFmtId="9" fontId="4" fillId="0" borderId="0" applyFont="0" applyFill="0" applyBorder="0" applyAlignment="0" applyProtection="0"/>
  </cellStyleXfs>
  <cellXfs count="152">
    <xf numFmtId="0" fontId="0" fillId="0" borderId="0" xfId="0"/>
    <xf numFmtId="0" fontId="0" fillId="0" borderId="0" xfId="0" applyAlignment="1">
      <alignment horizontal="center"/>
    </xf>
    <xf numFmtId="1" fontId="0" fillId="0" borderId="0" xfId="0" applyNumberFormat="1" applyAlignment="1">
      <alignment horizontal="center"/>
    </xf>
    <xf numFmtId="0" fontId="0" fillId="0" borderId="1" xfId="0" applyBorder="1"/>
    <xf numFmtId="0" fontId="0" fillId="0" borderId="0" xfId="0" applyAlignment="1">
      <alignment horizontal="right"/>
    </xf>
    <xf numFmtId="0" fontId="0" fillId="0" borderId="2" xfId="0" applyBorder="1"/>
    <xf numFmtId="1" fontId="0" fillId="0" borderId="0" xfId="0" applyNumberFormat="1"/>
    <xf numFmtId="2" fontId="0" fillId="0" borderId="0" xfId="0" applyNumberFormat="1"/>
    <xf numFmtId="9" fontId="0" fillId="0" borderId="0" xfId="1" applyFont="1"/>
    <xf numFmtId="10" fontId="0" fillId="0" borderId="0" xfId="1" applyNumberFormat="1" applyFont="1"/>
    <xf numFmtId="2" fontId="0" fillId="0" borderId="0" xfId="1" applyNumberFormat="1" applyFont="1"/>
    <xf numFmtId="0" fontId="2" fillId="0" borderId="0" xfId="0" applyFont="1" applyAlignment="1">
      <alignment horizontal="center"/>
    </xf>
    <xf numFmtId="0" fontId="0" fillId="0" borderId="3" xfId="0" applyBorder="1"/>
    <xf numFmtId="1" fontId="3" fillId="0" borderId="4" xfId="0" applyNumberFormat="1" applyFont="1" applyBorder="1" applyAlignment="1">
      <alignment horizontal="center"/>
    </xf>
    <xf numFmtId="2" fontId="3" fillId="0" borderId="4" xfId="0" applyNumberFormat="1" applyFont="1" applyBorder="1" applyAlignment="1">
      <alignment horizontal="center"/>
    </xf>
    <xf numFmtId="2" fontId="3" fillId="0" borderId="0" xfId="0" applyNumberFormat="1" applyFont="1" applyAlignment="1">
      <alignment horizontal="center"/>
    </xf>
    <xf numFmtId="1" fontId="0" fillId="0" borderId="0" xfId="0" applyNumberFormat="1" applyAlignment="1">
      <alignment horizontal="right"/>
    </xf>
    <xf numFmtId="0" fontId="0" fillId="0" borderId="0" xfId="0" applyNumberFormat="1"/>
    <xf numFmtId="164" fontId="0" fillId="0" borderId="0" xfId="1" applyNumberFormat="1" applyFont="1"/>
    <xf numFmtId="8" fontId="0" fillId="0" borderId="0" xfId="0" applyNumberFormat="1"/>
    <xf numFmtId="0" fontId="0" fillId="4" borderId="2" xfId="0" applyFill="1" applyBorder="1" applyAlignment="1">
      <alignment horizontal="center" vertical="center"/>
    </xf>
    <xf numFmtId="0" fontId="0" fillId="4" borderId="0" xfId="0" applyFill="1" applyBorder="1" applyAlignment="1">
      <alignment horizontal="center" vertical="center"/>
    </xf>
    <xf numFmtId="0" fontId="0" fillId="4" borderId="9" xfId="0" applyFill="1" applyBorder="1" applyAlignment="1">
      <alignment horizontal="center" vertical="center"/>
    </xf>
    <xf numFmtId="0" fontId="0" fillId="4" borderId="2" xfId="0" applyFill="1" applyBorder="1"/>
    <xf numFmtId="0" fontId="0" fillId="4" borderId="0" xfId="0" applyFill="1" applyBorder="1"/>
    <xf numFmtId="0" fontId="0" fillId="4" borderId="9" xfId="0" applyFill="1" applyBorder="1"/>
    <xf numFmtId="0" fontId="0" fillId="0" borderId="5" xfId="0" applyBorder="1"/>
    <xf numFmtId="1" fontId="0" fillId="7" borderId="0" xfId="0" applyNumberFormat="1" applyFill="1"/>
    <xf numFmtId="1" fontId="0" fillId="0" borderId="13" xfId="0" applyNumberFormat="1" applyFont="1" applyBorder="1" applyAlignment="1">
      <alignment horizontal="right"/>
    </xf>
    <xf numFmtId="0" fontId="0" fillId="0" borderId="0" xfId="0" applyBorder="1"/>
    <xf numFmtId="0" fontId="0" fillId="0" borderId="9" xfId="0" applyBorder="1"/>
    <xf numFmtId="0" fontId="0" fillId="0" borderId="10" xfId="0" applyBorder="1"/>
    <xf numFmtId="0" fontId="0" fillId="0" borderId="11" xfId="0" applyBorder="1"/>
    <xf numFmtId="0" fontId="25" fillId="0" borderId="0" xfId="0" applyFont="1"/>
    <xf numFmtId="0" fontId="27" fillId="0" borderId="0" xfId="0" applyFont="1"/>
    <xf numFmtId="0" fontId="24" fillId="3" borderId="0" xfId="0" applyFont="1" applyFill="1"/>
    <xf numFmtId="0" fontId="0" fillId="0" borderId="0" xfId="0" applyFill="1" applyBorder="1"/>
    <xf numFmtId="0" fontId="27" fillId="0" borderId="0" xfId="0" applyFont="1" applyFill="1" applyBorder="1"/>
    <xf numFmtId="0" fontId="0" fillId="4" borderId="1" xfId="0" applyFill="1" applyBorder="1"/>
    <xf numFmtId="0" fontId="0" fillId="0" borderId="0" xfId="0" applyAlignment="1">
      <alignment wrapText="1"/>
    </xf>
    <xf numFmtId="0" fontId="25" fillId="0" borderId="0" xfId="0" applyFont="1" applyAlignment="1">
      <alignment wrapText="1"/>
    </xf>
    <xf numFmtId="0" fontId="27" fillId="0" borderId="0" xfId="0" applyFont="1"/>
    <xf numFmtId="0" fontId="0" fillId="4" borderId="1" xfId="0" applyFill="1" applyBorder="1"/>
    <xf numFmtId="0" fontId="24" fillId="3" borderId="0" xfId="0" applyFont="1" applyFill="1"/>
    <xf numFmtId="0" fontId="27" fillId="0" borderId="0" xfId="0" applyFont="1" applyFill="1" applyBorder="1"/>
    <xf numFmtId="0" fontId="0" fillId="0" borderId="0" xfId="0" applyFill="1" applyBorder="1" applyAlignment="1">
      <alignment wrapText="1"/>
    </xf>
    <xf numFmtId="0" fontId="26" fillId="0" borderId="0" xfId="0" applyFont="1"/>
    <xf numFmtId="0" fontId="28" fillId="0" borderId="0" xfId="0" applyFont="1" applyAlignment="1">
      <alignment wrapText="1"/>
    </xf>
    <xf numFmtId="0" fontId="5" fillId="2" borderId="0" xfId="0" applyFont="1" applyFill="1" applyAlignment="1">
      <alignment horizontal="center" vertical="center" wrapText="1"/>
    </xf>
    <xf numFmtId="2" fontId="6" fillId="2" borderId="0" xfId="0" applyNumberFormat="1" applyFont="1" applyFill="1" applyAlignment="1">
      <alignment horizontal="center" vertical="center"/>
    </xf>
    <xf numFmtId="2" fontId="6" fillId="2" borderId="5" xfId="0" applyNumberFormat="1" applyFont="1" applyFill="1" applyBorder="1" applyAlignment="1">
      <alignment horizontal="center" vertical="center"/>
    </xf>
    <xf numFmtId="1" fontId="6" fillId="2" borderId="0" xfId="0" applyNumberFormat="1" applyFont="1" applyFill="1" applyAlignment="1">
      <alignment horizontal="center" vertical="center"/>
    </xf>
    <xf numFmtId="1" fontId="6" fillId="2" borderId="5" xfId="0" applyNumberFormat="1" applyFont="1" applyFill="1" applyBorder="1" applyAlignment="1">
      <alignment horizontal="center" vertical="center"/>
    </xf>
    <xf numFmtId="0" fontId="8" fillId="2" borderId="0" xfId="0" applyFont="1" applyFill="1" applyAlignment="1">
      <alignment horizontal="center" vertical="center" wrapText="1"/>
    </xf>
    <xf numFmtId="0" fontId="8" fillId="2" borderId="5"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5" xfId="0" applyFont="1" applyFill="1" applyBorder="1" applyAlignment="1">
      <alignment horizontal="center" vertical="center" wrapText="1"/>
    </xf>
    <xf numFmtId="0" fontId="23" fillId="0" borderId="0" xfId="0" applyFont="1" applyAlignment="1">
      <alignment horizontal="left"/>
    </xf>
    <xf numFmtId="0" fontId="19" fillId="4" borderId="7" xfId="0" applyFont="1" applyFill="1" applyBorder="1" applyAlignment="1">
      <alignment horizontal="center" vertical="center"/>
    </xf>
    <xf numFmtId="0" fontId="19" fillId="4" borderId="8" xfId="0" applyFont="1" applyFill="1" applyBorder="1" applyAlignment="1">
      <alignment horizontal="center" vertical="center"/>
    </xf>
    <xf numFmtId="0" fontId="19" fillId="4" borderId="3" xfId="0" applyFont="1" applyFill="1" applyBorder="1" applyAlignment="1">
      <alignment horizontal="center" vertical="center"/>
    </xf>
    <xf numFmtId="0" fontId="19" fillId="4" borderId="10" xfId="0" applyFont="1" applyFill="1" applyBorder="1" applyAlignment="1">
      <alignment horizontal="center" vertical="center"/>
    </xf>
    <xf numFmtId="0" fontId="19" fillId="4" borderId="5" xfId="0" applyFont="1" applyFill="1" applyBorder="1" applyAlignment="1">
      <alignment horizontal="center" vertical="center"/>
    </xf>
    <xf numFmtId="0" fontId="19" fillId="4" borderId="11" xfId="0" applyFont="1" applyFill="1" applyBorder="1" applyAlignment="1">
      <alignment horizontal="center" vertical="center"/>
    </xf>
    <xf numFmtId="0" fontId="14" fillId="0" borderId="14" xfId="0" applyFont="1" applyBorder="1" applyAlignment="1">
      <alignment horizontal="left"/>
    </xf>
    <xf numFmtId="0" fontId="14" fillId="0" borderId="12" xfId="0" applyFont="1" applyBorder="1" applyAlignment="1">
      <alignment horizontal="left"/>
    </xf>
    <xf numFmtId="0" fontId="14" fillId="4" borderId="14" xfId="0" applyFont="1" applyFill="1" applyBorder="1" applyAlignment="1">
      <alignment horizontal="left"/>
    </xf>
    <xf numFmtId="0" fontId="14" fillId="4" borderId="12" xfId="0" applyFont="1" applyFill="1" applyBorder="1" applyAlignment="1">
      <alignment horizontal="left"/>
    </xf>
    <xf numFmtId="0" fontId="14" fillId="0" borderId="10" xfId="0" applyFont="1" applyBorder="1" applyAlignment="1">
      <alignment horizontal="left"/>
    </xf>
    <xf numFmtId="0" fontId="14" fillId="0" borderId="5" xfId="0" applyFont="1" applyBorder="1" applyAlignment="1">
      <alignment horizontal="left"/>
    </xf>
    <xf numFmtId="0" fontId="14" fillId="0" borderId="15" xfId="0" applyFont="1" applyBorder="1" applyAlignment="1">
      <alignment horizontal="left"/>
    </xf>
    <xf numFmtId="0" fontId="14" fillId="4" borderId="15" xfId="0" applyFont="1" applyFill="1" applyBorder="1" applyAlignment="1">
      <alignment horizontal="left"/>
    </xf>
    <xf numFmtId="0" fontId="14" fillId="6" borderId="12" xfId="0" applyFont="1" applyFill="1" applyBorder="1" applyAlignment="1">
      <alignment horizontal="left"/>
    </xf>
    <xf numFmtId="0" fontId="14" fillId="6" borderId="15" xfId="0" applyFont="1" applyFill="1" applyBorder="1" applyAlignment="1">
      <alignment horizontal="left"/>
    </xf>
    <xf numFmtId="0" fontId="14" fillId="4" borderId="5" xfId="0" applyFont="1" applyFill="1" applyBorder="1" applyAlignment="1">
      <alignment horizontal="left"/>
    </xf>
    <xf numFmtId="0" fontId="14" fillId="4" borderId="11" xfId="0" applyFont="1" applyFill="1" applyBorder="1" applyAlignment="1">
      <alignment horizontal="left"/>
    </xf>
    <xf numFmtId="0" fontId="14" fillId="0" borderId="11" xfId="0" applyFont="1" applyBorder="1" applyAlignment="1">
      <alignment horizontal="left"/>
    </xf>
    <xf numFmtId="0" fontId="14" fillId="4" borderId="10" xfId="0" applyFont="1" applyFill="1" applyBorder="1" applyAlignment="1">
      <alignment horizontal="left"/>
    </xf>
    <xf numFmtId="0" fontId="14" fillId="6" borderId="14" xfId="0" applyFont="1" applyFill="1" applyBorder="1" applyAlignment="1">
      <alignment horizontal="left"/>
    </xf>
    <xf numFmtId="0" fontId="0" fillId="0" borderId="2" xfId="0" applyBorder="1" applyAlignment="1">
      <alignment horizontal="center"/>
    </xf>
    <xf numFmtId="0" fontId="0" fillId="0" borderId="0" xfId="0" applyBorder="1" applyAlignment="1">
      <alignment horizontal="center"/>
    </xf>
    <xf numFmtId="0" fontId="0" fillId="0" borderId="9" xfId="0" applyBorder="1" applyAlignment="1">
      <alignment horizontal="center"/>
    </xf>
    <xf numFmtId="0" fontId="21" fillId="4" borderId="2" xfId="0" applyFont="1" applyFill="1" applyBorder="1" applyAlignment="1">
      <alignment horizontal="center" vertical="center"/>
    </xf>
    <xf numFmtId="0" fontId="21" fillId="4" borderId="0" xfId="0" applyFont="1" applyFill="1" applyBorder="1" applyAlignment="1">
      <alignment horizontal="center" vertical="center"/>
    </xf>
    <xf numFmtId="0" fontId="21" fillId="4" borderId="9" xfId="0" applyFont="1" applyFill="1" applyBorder="1" applyAlignment="1">
      <alignment horizontal="center" vertical="center"/>
    </xf>
    <xf numFmtId="0" fontId="1" fillId="4" borderId="2" xfId="0" applyFont="1" applyFill="1" applyBorder="1" applyAlignment="1">
      <alignment horizontal="center" vertical="center" wrapText="1"/>
    </xf>
    <xf numFmtId="0" fontId="1" fillId="4" borderId="0"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9" fillId="4" borderId="2" xfId="0" applyFont="1" applyFill="1" applyBorder="1" applyAlignment="1">
      <alignment horizontal="center" vertical="center"/>
    </xf>
    <xf numFmtId="0" fontId="19" fillId="4" borderId="0" xfId="0" applyFont="1" applyFill="1" applyBorder="1" applyAlignment="1">
      <alignment horizontal="center" vertical="center"/>
    </xf>
    <xf numFmtId="0" fontId="19" fillId="4" borderId="9" xfId="0" applyFont="1" applyFill="1" applyBorder="1" applyAlignment="1">
      <alignment horizontal="center" vertical="center"/>
    </xf>
    <xf numFmtId="0" fontId="20" fillId="3" borderId="7" xfId="0" applyFont="1" applyFill="1" applyBorder="1" applyAlignment="1">
      <alignment horizontal="left" vertical="center"/>
    </xf>
    <xf numFmtId="0" fontId="20" fillId="3" borderId="8" xfId="0" applyFont="1" applyFill="1" applyBorder="1" applyAlignment="1">
      <alignment horizontal="left" vertical="center"/>
    </xf>
    <xf numFmtId="0" fontId="20" fillId="3" borderId="3" xfId="0" applyFont="1" applyFill="1" applyBorder="1" applyAlignment="1">
      <alignment horizontal="left" vertical="center"/>
    </xf>
    <xf numFmtId="0" fontId="20" fillId="3" borderId="2" xfId="0" applyFont="1" applyFill="1" applyBorder="1" applyAlignment="1">
      <alignment horizontal="left" vertical="center"/>
    </xf>
    <xf numFmtId="0" fontId="20" fillId="3" borderId="0" xfId="0" applyFont="1" applyFill="1" applyBorder="1" applyAlignment="1">
      <alignment horizontal="left" vertical="center"/>
    </xf>
    <xf numFmtId="0" fontId="20" fillId="3" borderId="9" xfId="0" applyFont="1" applyFill="1" applyBorder="1" applyAlignment="1">
      <alignment horizontal="left" vertical="center"/>
    </xf>
    <xf numFmtId="1" fontId="22" fillId="0" borderId="12" xfId="0" applyNumberFormat="1" applyFont="1" applyBorder="1" applyAlignment="1">
      <alignment horizontal="center"/>
    </xf>
    <xf numFmtId="0" fontId="22" fillId="0" borderId="12" xfId="0" applyFont="1" applyBorder="1" applyAlignment="1">
      <alignment horizontal="center"/>
    </xf>
    <xf numFmtId="0" fontId="22" fillId="0" borderId="15" xfId="0" applyFont="1" applyBorder="1" applyAlignment="1">
      <alignment horizontal="center"/>
    </xf>
    <xf numFmtId="1" fontId="22" fillId="4" borderId="12" xfId="0" applyNumberFormat="1" applyFont="1" applyFill="1" applyBorder="1" applyAlignment="1">
      <alignment horizontal="center"/>
    </xf>
    <xf numFmtId="0" fontId="22" fillId="4" borderId="12" xfId="0" applyFont="1" applyFill="1" applyBorder="1" applyAlignment="1">
      <alignment horizontal="center"/>
    </xf>
    <xf numFmtId="0" fontId="22" fillId="4" borderId="15" xfId="0" applyFont="1" applyFill="1" applyBorder="1" applyAlignment="1">
      <alignment horizontal="center"/>
    </xf>
    <xf numFmtId="0" fontId="21" fillId="5" borderId="14" xfId="0" applyFont="1" applyFill="1" applyBorder="1" applyAlignment="1">
      <alignment horizontal="center"/>
    </xf>
    <xf numFmtId="0" fontId="21" fillId="5" borderId="12" xfId="0" applyFont="1" applyFill="1" applyBorder="1" applyAlignment="1">
      <alignment horizontal="center"/>
    </xf>
    <xf numFmtId="164" fontId="21" fillId="0" borderId="12" xfId="1" applyNumberFormat="1" applyFont="1" applyBorder="1" applyAlignment="1">
      <alignment horizontal="center"/>
    </xf>
    <xf numFmtId="164" fontId="21" fillId="4" borderId="12" xfId="1" applyNumberFormat="1" applyFont="1" applyFill="1" applyBorder="1" applyAlignment="1">
      <alignment horizontal="center"/>
    </xf>
    <xf numFmtId="0" fontId="0" fillId="0" borderId="14" xfId="0" applyBorder="1" applyAlignment="1">
      <alignment horizontal="center"/>
    </xf>
    <xf numFmtId="0" fontId="0" fillId="0" borderId="12" xfId="0" applyBorder="1" applyAlignment="1">
      <alignment horizontal="center"/>
    </xf>
    <xf numFmtId="0" fontId="0" fillId="4" borderId="14" xfId="0" applyFill="1" applyBorder="1" applyAlignment="1">
      <alignment horizontal="center"/>
    </xf>
    <xf numFmtId="0" fontId="0" fillId="4" borderId="12" xfId="0" applyFill="1" applyBorder="1" applyAlignment="1">
      <alignment horizontal="center"/>
    </xf>
    <xf numFmtId="0" fontId="19" fillId="4" borderId="2" xfId="0" applyFont="1" applyFill="1" applyBorder="1" applyAlignment="1">
      <alignment horizontal="center" vertical="center" wrapText="1"/>
    </xf>
    <xf numFmtId="0" fontId="19" fillId="4" borderId="0" xfId="0" applyFont="1" applyFill="1" applyBorder="1" applyAlignment="1">
      <alignment horizontal="center" vertical="center" wrapText="1"/>
    </xf>
    <xf numFmtId="0" fontId="19" fillId="4" borderId="9" xfId="0" applyFont="1" applyFill="1" applyBorder="1" applyAlignment="1">
      <alignment horizontal="center" vertical="center" wrapText="1"/>
    </xf>
    <xf numFmtId="0" fontId="19" fillId="4" borderId="10" xfId="0" applyFont="1" applyFill="1" applyBorder="1" applyAlignment="1">
      <alignment horizontal="center" vertical="center" wrapText="1"/>
    </xf>
    <xf numFmtId="0" fontId="19" fillId="4" borderId="5" xfId="0" applyFont="1" applyFill="1" applyBorder="1" applyAlignment="1">
      <alignment horizontal="center" vertical="center" wrapText="1"/>
    </xf>
    <xf numFmtId="0" fontId="19" fillId="4" borderId="11" xfId="0" applyFont="1" applyFill="1" applyBorder="1" applyAlignment="1">
      <alignment horizontal="center" vertical="center" wrapText="1"/>
    </xf>
    <xf numFmtId="0" fontId="15" fillId="4" borderId="2" xfId="0" applyFont="1" applyFill="1" applyBorder="1" applyAlignment="1">
      <alignment horizontal="center"/>
    </xf>
    <xf numFmtId="0" fontId="15" fillId="4" borderId="0" xfId="0" applyFont="1" applyFill="1" applyBorder="1" applyAlignment="1">
      <alignment horizontal="center"/>
    </xf>
    <xf numFmtId="0" fontId="15" fillId="4" borderId="9" xfId="0" applyFont="1" applyFill="1" applyBorder="1" applyAlignment="1">
      <alignment horizontal="center"/>
    </xf>
    <xf numFmtId="0" fontId="21" fillId="5" borderId="15" xfId="0" applyFont="1" applyFill="1" applyBorder="1" applyAlignment="1">
      <alignment horizontal="center"/>
    </xf>
    <xf numFmtId="0" fontId="12" fillId="4" borderId="7" xfId="0" applyFont="1" applyFill="1" applyBorder="1" applyAlignment="1">
      <alignment horizontal="center" vertical="center"/>
    </xf>
    <xf numFmtId="0" fontId="12" fillId="4" borderId="8" xfId="0" applyFont="1" applyFill="1" applyBorder="1" applyAlignment="1">
      <alignment horizontal="center" vertical="center"/>
    </xf>
    <xf numFmtId="0" fontId="12" fillId="4" borderId="3" xfId="0" applyFont="1" applyFill="1" applyBorder="1" applyAlignment="1">
      <alignment horizontal="center" vertical="center"/>
    </xf>
    <xf numFmtId="0" fontId="12" fillId="4" borderId="2" xfId="0" applyFont="1" applyFill="1" applyBorder="1" applyAlignment="1">
      <alignment horizontal="center" vertical="center"/>
    </xf>
    <xf numFmtId="0" fontId="12" fillId="4" borderId="0" xfId="0" applyFont="1" applyFill="1" applyBorder="1" applyAlignment="1">
      <alignment horizontal="center" vertical="center"/>
    </xf>
    <xf numFmtId="0" fontId="12" fillId="4" borderId="9" xfId="0" applyFont="1" applyFill="1" applyBorder="1" applyAlignment="1">
      <alignment horizontal="center" vertical="center"/>
    </xf>
    <xf numFmtId="8" fontId="16" fillId="4" borderId="2" xfId="0" applyNumberFormat="1" applyFont="1" applyFill="1" applyBorder="1" applyAlignment="1">
      <alignment horizontal="center" vertical="center"/>
    </xf>
    <xf numFmtId="0" fontId="16" fillId="4" borderId="0" xfId="0" applyFont="1" applyFill="1" applyBorder="1" applyAlignment="1">
      <alignment horizontal="center" vertical="center"/>
    </xf>
    <xf numFmtId="0" fontId="16" fillId="4" borderId="9" xfId="0" applyFont="1" applyFill="1" applyBorder="1" applyAlignment="1">
      <alignment horizontal="center" vertical="center"/>
    </xf>
    <xf numFmtId="0" fontId="16" fillId="4" borderId="2" xfId="0" applyFont="1" applyFill="1" applyBorder="1" applyAlignment="1">
      <alignment horizontal="center" vertical="center"/>
    </xf>
    <xf numFmtId="0" fontId="16" fillId="4" borderId="10" xfId="0" applyFont="1" applyFill="1" applyBorder="1" applyAlignment="1">
      <alignment horizontal="center" vertical="center"/>
    </xf>
    <xf numFmtId="0" fontId="16" fillId="4" borderId="5" xfId="0" applyFont="1" applyFill="1" applyBorder="1" applyAlignment="1">
      <alignment horizontal="center" vertical="center"/>
    </xf>
    <xf numFmtId="0" fontId="16" fillId="4" borderId="11" xfId="0" applyFont="1" applyFill="1" applyBorder="1" applyAlignment="1">
      <alignment horizontal="center" vertical="center"/>
    </xf>
    <xf numFmtId="0" fontId="17" fillId="4" borderId="2" xfId="0" applyFont="1" applyFill="1" applyBorder="1" applyAlignment="1">
      <alignment horizontal="left"/>
    </xf>
    <xf numFmtId="0" fontId="17" fillId="4" borderId="0" xfId="0" applyFont="1" applyFill="1" applyBorder="1" applyAlignment="1">
      <alignment horizontal="left"/>
    </xf>
    <xf numFmtId="1" fontId="18" fillId="4" borderId="0" xfId="0" applyNumberFormat="1" applyFont="1" applyFill="1" applyBorder="1"/>
    <xf numFmtId="0" fontId="18" fillId="4" borderId="9" xfId="0" applyFont="1" applyFill="1" applyBorder="1"/>
    <xf numFmtId="164" fontId="18" fillId="4" borderId="0" xfId="1" applyNumberFormat="1" applyFont="1" applyFill="1" applyBorder="1"/>
    <xf numFmtId="164" fontId="18" fillId="4" borderId="9" xfId="1" applyNumberFormat="1" applyFont="1" applyFill="1" applyBorder="1"/>
    <xf numFmtId="0" fontId="11" fillId="3" borderId="0" xfId="0" applyFont="1" applyFill="1" applyBorder="1" applyAlignment="1">
      <alignment horizontal="left" vertical="center"/>
    </xf>
    <xf numFmtId="0" fontId="10" fillId="3" borderId="6" xfId="0" applyFont="1" applyFill="1" applyBorder="1" applyAlignment="1">
      <alignment horizontal="left" vertical="center"/>
    </xf>
    <xf numFmtId="1" fontId="13" fillId="4" borderId="2" xfId="0" applyNumberFormat="1" applyFont="1" applyFill="1" applyBorder="1" applyAlignment="1">
      <alignment horizontal="center" vertical="center"/>
    </xf>
    <xf numFmtId="0" fontId="13" fillId="4" borderId="0" xfId="0" applyFont="1" applyFill="1" applyBorder="1" applyAlignment="1">
      <alignment horizontal="center" vertical="center"/>
    </xf>
    <xf numFmtId="0" fontId="13" fillId="4" borderId="9" xfId="0" applyFont="1" applyFill="1" applyBorder="1" applyAlignment="1">
      <alignment horizontal="center" vertical="center"/>
    </xf>
    <xf numFmtId="0" fontId="13"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0" xfId="0" applyFill="1" applyBorder="1" applyAlignment="1">
      <alignment horizontal="center" vertical="center"/>
    </xf>
    <xf numFmtId="0" fontId="0" fillId="4" borderId="9" xfId="0" applyFill="1" applyBorder="1" applyAlignment="1">
      <alignment horizontal="center" vertical="center"/>
    </xf>
    <xf numFmtId="8" fontId="8" fillId="4" borderId="10" xfId="0" applyNumberFormat="1" applyFont="1" applyFill="1" applyBorder="1" applyAlignment="1">
      <alignment horizontal="center" vertical="center"/>
    </xf>
    <xf numFmtId="0" fontId="8" fillId="4" borderId="5" xfId="0" applyFont="1" applyFill="1" applyBorder="1" applyAlignment="1">
      <alignment horizontal="center" vertical="center"/>
    </xf>
    <xf numFmtId="0" fontId="8" fillId="4" borderId="11" xfId="0" applyFont="1" applyFill="1" applyBorder="1" applyAlignment="1">
      <alignment horizontal="center" vertical="center"/>
    </xf>
  </cellXfs>
  <cellStyles count="2">
    <cellStyle name="Normal" xfId="0" builtinId="0"/>
    <cellStyle name="Percent" xfId="1" builtinId="5"/>
  </cellStyles>
  <dxfs count="24">
    <dxf>
      <font>
        <b/>
        <i val="0"/>
      </font>
      <fill>
        <patternFill>
          <bgColor theme="9" tint="0.59996337778862885"/>
        </patternFill>
      </fill>
    </dxf>
    <dxf>
      <numFmt numFmtId="12" formatCode="&quot;$&quot;#,##0.00_);[Red]\(&quot;$&quot;#,##0.00\)"/>
    </dxf>
    <dxf>
      <numFmt numFmtId="1" formatCode="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dxf>
    <dxf>
      <numFmt numFmtId="2" formatCode="0.00"/>
    </dxf>
    <dxf>
      <numFmt numFmtId="2" formatCode="0.00"/>
    </dxf>
    <dxf>
      <numFmt numFmtId="14" formatCode="0.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2" tint="-0.499984740745262"/>
        </patternFill>
      </fill>
      <alignment horizontal="center" vertical="bottom" textRotation="0" wrapText="0" indent="0" justifyLastLine="0" shrinkToFit="0" readingOrder="0"/>
    </dxf>
    <dxf>
      <fill>
        <patternFill patternType="solid">
          <fgColor indexed="64"/>
          <bgColor theme="2" tint="-0.499984740745262"/>
        </patternFill>
      </fill>
      <alignment horizontal="center" vertical="bottom" textRotation="0" wrapText="0" indent="0" justifyLastLine="0" shrinkToFit="0" readingOrder="0"/>
    </dxf>
    <dxf>
      <border outline="0">
        <left style="thin">
          <color indexed="64"/>
        </left>
      </border>
    </dxf>
    <dxf>
      <alignment horizontal="center" vertical="bottom" textRotation="0" wrapText="0" indent="0" justifyLastLine="0" shrinkToFit="0" readingOrder="0"/>
    </dxf>
    <dxf>
      <font>
        <b/>
        <i/>
        <strike val="0"/>
        <condense val="0"/>
        <extend val="0"/>
        <outline val="0"/>
        <shadow val="0"/>
        <u/>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16A085"/>
      <color rgb="FFF1F5F9"/>
      <color rgb="FF142B45"/>
      <color rgb="FFCBD5E1"/>
      <color rgb="FFA9A9A9"/>
      <color rgb="FFE6F4F1"/>
      <color rgb="FF000080"/>
      <color rgb="FFE2E8F0"/>
      <color rgb="FF64748B"/>
      <color rgb="FFBFD0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1st Division | Actual vs. Forecast 2019-2025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'1st Division'!$B$1</c:f>
              <c:strCache>
                <c:ptCount val="1"/>
                <c:pt idx="0">
                  <c:v>Actual Demand</c:v>
                </c:pt>
              </c:strCache>
            </c:strRef>
          </c:tx>
          <c:spPr>
            <a:ln w="28575" cap="rnd">
              <a:solidFill>
                <a:schemeClr val="accent1"/>
              </a:solidFill>
              <a:round/>
            </a:ln>
            <a:effectLst/>
          </c:spPr>
          <c:marker>
            <c:symbol val="circle"/>
            <c:size val="5"/>
            <c:spPr>
              <a:solidFill>
                <a:schemeClr val="accent2"/>
              </a:solidFill>
              <a:ln w="9525">
                <a:solidFill>
                  <a:schemeClr val="accent2"/>
                </a:solidFill>
              </a:ln>
              <a:effectLst/>
            </c:spPr>
          </c:marker>
          <c:cat>
            <c:numRef>
              <c:f>'1st Division'!$A$5:$A$11</c:f>
              <c:numCache>
                <c:formatCode>General</c:formatCode>
                <c:ptCount val="7"/>
                <c:pt idx="0">
                  <c:v>2019</c:v>
                </c:pt>
                <c:pt idx="1">
                  <c:v>2020</c:v>
                </c:pt>
                <c:pt idx="2">
                  <c:v>2021</c:v>
                </c:pt>
                <c:pt idx="3">
                  <c:v>2022</c:v>
                </c:pt>
                <c:pt idx="4">
                  <c:v>2023</c:v>
                </c:pt>
                <c:pt idx="5">
                  <c:v>2024</c:v>
                </c:pt>
                <c:pt idx="6">
                  <c:v>2025</c:v>
                </c:pt>
              </c:numCache>
            </c:numRef>
          </c:cat>
          <c:val>
            <c:numRef>
              <c:f>'1st Division'!$B$5:$B$11</c:f>
              <c:numCache>
                <c:formatCode>General</c:formatCode>
                <c:ptCount val="7"/>
                <c:pt idx="0">
                  <c:v>719</c:v>
                </c:pt>
                <c:pt idx="1">
                  <c:v>806</c:v>
                </c:pt>
                <c:pt idx="2">
                  <c:v>714</c:v>
                </c:pt>
                <c:pt idx="3">
                  <c:v>770</c:v>
                </c:pt>
                <c:pt idx="4">
                  <c:v>624</c:v>
                </c:pt>
                <c:pt idx="5">
                  <c:v>666</c:v>
                </c:pt>
                <c:pt idx="6">
                  <c:v>743</c:v>
                </c:pt>
              </c:numCache>
            </c:numRef>
          </c:val>
          <c:smooth val="0"/>
          <c:extLst>
            <c:ext xmlns:c16="http://schemas.microsoft.com/office/drawing/2014/chart" uri="{C3380CC4-5D6E-409C-BE32-E72D297353CC}">
              <c16:uniqueId val="{00000001-856A-9A4B-B3F9-4310D107773D}"/>
            </c:ext>
          </c:extLst>
        </c:ser>
        <c:ser>
          <c:idx val="2"/>
          <c:order val="1"/>
          <c:tx>
            <c:v>Exponential Smoothing Forecast</c:v>
          </c:tx>
          <c:spPr>
            <a:ln w="28575" cap="rnd">
              <a:solidFill>
                <a:schemeClr val="accent2"/>
              </a:solidFill>
              <a:prstDash val="sysDash"/>
              <a:round/>
            </a:ln>
            <a:effectLst/>
          </c:spPr>
          <c:marker>
            <c:symbol val="circle"/>
            <c:size val="5"/>
            <c:spPr>
              <a:solidFill>
                <a:schemeClr val="accent3"/>
              </a:solidFill>
              <a:ln w="9525">
                <a:solidFill>
                  <a:schemeClr val="accent3"/>
                </a:solidFill>
              </a:ln>
              <a:effectLst/>
            </c:spPr>
          </c:marker>
          <c:cat>
            <c:numRef>
              <c:f>'1st Division'!$A$5:$A$11</c:f>
              <c:numCache>
                <c:formatCode>General</c:formatCode>
                <c:ptCount val="7"/>
                <c:pt idx="0">
                  <c:v>2019</c:v>
                </c:pt>
                <c:pt idx="1">
                  <c:v>2020</c:v>
                </c:pt>
                <c:pt idx="2">
                  <c:v>2021</c:v>
                </c:pt>
                <c:pt idx="3">
                  <c:v>2022</c:v>
                </c:pt>
                <c:pt idx="4">
                  <c:v>2023</c:v>
                </c:pt>
                <c:pt idx="5">
                  <c:v>2024</c:v>
                </c:pt>
                <c:pt idx="6">
                  <c:v>2025</c:v>
                </c:pt>
              </c:numCache>
            </c:numRef>
          </c:cat>
          <c:val>
            <c:numRef>
              <c:f>'1st Division'!$L$5:$L$11</c:f>
              <c:numCache>
                <c:formatCode>0.00</c:formatCode>
                <c:ptCount val="7"/>
                <c:pt idx="0">
                  <c:v>518.5</c:v>
                </c:pt>
                <c:pt idx="1">
                  <c:v>618.75</c:v>
                </c:pt>
                <c:pt idx="2">
                  <c:v>712.375</c:v>
                </c:pt>
                <c:pt idx="3">
                  <c:v>713.1875</c:v>
                </c:pt>
                <c:pt idx="4">
                  <c:v>741.59375</c:v>
                </c:pt>
                <c:pt idx="5">
                  <c:v>682.796875</c:v>
                </c:pt>
                <c:pt idx="6">
                  <c:v>674.3984375</c:v>
                </c:pt>
              </c:numCache>
            </c:numRef>
          </c:val>
          <c:smooth val="0"/>
          <c:extLst>
            <c:ext xmlns:c16="http://schemas.microsoft.com/office/drawing/2014/chart" uri="{C3380CC4-5D6E-409C-BE32-E72D297353CC}">
              <c16:uniqueId val="{00000003-856A-9A4B-B3F9-4310D107773D}"/>
            </c:ext>
          </c:extLst>
        </c:ser>
        <c:dLbls>
          <c:showLegendKey val="0"/>
          <c:showVal val="0"/>
          <c:showCatName val="0"/>
          <c:showSerName val="0"/>
          <c:showPercent val="0"/>
          <c:showBubbleSize val="0"/>
        </c:dLbls>
        <c:marker val="1"/>
        <c:smooth val="0"/>
        <c:axId val="790296575"/>
        <c:axId val="822508863"/>
      </c:lineChart>
      <c:catAx>
        <c:axId val="79029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508863"/>
        <c:crosses val="autoZero"/>
        <c:auto val="1"/>
        <c:lblAlgn val="ctr"/>
        <c:lblOffset val="100"/>
        <c:noMultiLvlLbl val="0"/>
      </c:catAx>
      <c:valAx>
        <c:axId val="822508863"/>
        <c:scaling>
          <c:orientation val="minMax"/>
          <c:min val="55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296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2nd Division | Actual vs. Forecast 2019-2025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'2nd Division'!$B$1</c:f>
              <c:strCache>
                <c:ptCount val="1"/>
                <c:pt idx="0">
                  <c:v>Actual Demand</c:v>
                </c:pt>
              </c:strCache>
            </c:strRef>
          </c:tx>
          <c:spPr>
            <a:ln w="28575" cap="rnd">
              <a:solidFill>
                <a:schemeClr val="accent1"/>
              </a:solidFill>
              <a:round/>
            </a:ln>
            <a:effectLst/>
          </c:spPr>
          <c:marker>
            <c:symbol val="circle"/>
            <c:size val="5"/>
            <c:spPr>
              <a:solidFill>
                <a:schemeClr val="accent2"/>
              </a:solidFill>
              <a:ln w="9525">
                <a:solidFill>
                  <a:schemeClr val="accent2"/>
                </a:solidFill>
              </a:ln>
              <a:effectLst/>
            </c:spPr>
          </c:marker>
          <c:cat>
            <c:numRef>
              <c:f>'2nd Division'!$A$5:$A$11</c:f>
              <c:numCache>
                <c:formatCode>General</c:formatCode>
                <c:ptCount val="7"/>
                <c:pt idx="0">
                  <c:v>2019</c:v>
                </c:pt>
                <c:pt idx="1">
                  <c:v>2020</c:v>
                </c:pt>
                <c:pt idx="2">
                  <c:v>2021</c:v>
                </c:pt>
                <c:pt idx="3">
                  <c:v>2022</c:v>
                </c:pt>
                <c:pt idx="4">
                  <c:v>2023</c:v>
                </c:pt>
                <c:pt idx="5">
                  <c:v>2024</c:v>
                </c:pt>
                <c:pt idx="6">
                  <c:v>2025</c:v>
                </c:pt>
              </c:numCache>
            </c:numRef>
          </c:cat>
          <c:val>
            <c:numRef>
              <c:f>'2nd Division'!$B$5:$B$11</c:f>
              <c:numCache>
                <c:formatCode>General</c:formatCode>
                <c:ptCount val="7"/>
                <c:pt idx="0">
                  <c:v>623</c:v>
                </c:pt>
                <c:pt idx="1">
                  <c:v>807</c:v>
                </c:pt>
                <c:pt idx="2">
                  <c:v>609</c:v>
                </c:pt>
                <c:pt idx="3">
                  <c:v>693</c:v>
                </c:pt>
                <c:pt idx="4">
                  <c:v>641</c:v>
                </c:pt>
                <c:pt idx="5">
                  <c:v>713</c:v>
                </c:pt>
                <c:pt idx="6">
                  <c:v>750</c:v>
                </c:pt>
              </c:numCache>
            </c:numRef>
          </c:val>
          <c:smooth val="0"/>
          <c:extLst>
            <c:ext xmlns:c16="http://schemas.microsoft.com/office/drawing/2014/chart" uri="{C3380CC4-5D6E-409C-BE32-E72D297353CC}">
              <c16:uniqueId val="{00000000-C620-5A44-9BFD-781D281B69C2}"/>
            </c:ext>
          </c:extLst>
        </c:ser>
        <c:ser>
          <c:idx val="2"/>
          <c:order val="1"/>
          <c:tx>
            <c:v>Exponential Smoothing Forecast</c:v>
          </c:tx>
          <c:spPr>
            <a:ln w="28575" cap="rnd">
              <a:solidFill>
                <a:schemeClr val="accent2"/>
              </a:solidFill>
              <a:prstDash val="sysDash"/>
              <a:round/>
            </a:ln>
            <a:effectLst/>
          </c:spPr>
          <c:marker>
            <c:symbol val="circle"/>
            <c:size val="5"/>
            <c:spPr>
              <a:solidFill>
                <a:schemeClr val="accent3"/>
              </a:solidFill>
              <a:ln w="9525">
                <a:solidFill>
                  <a:schemeClr val="accent3"/>
                </a:solidFill>
              </a:ln>
              <a:effectLst/>
            </c:spPr>
          </c:marker>
          <c:cat>
            <c:numRef>
              <c:f>'2nd Division'!$A$5:$A$11</c:f>
              <c:numCache>
                <c:formatCode>General</c:formatCode>
                <c:ptCount val="7"/>
                <c:pt idx="0">
                  <c:v>2019</c:v>
                </c:pt>
                <c:pt idx="1">
                  <c:v>2020</c:v>
                </c:pt>
                <c:pt idx="2">
                  <c:v>2021</c:v>
                </c:pt>
                <c:pt idx="3">
                  <c:v>2022</c:v>
                </c:pt>
                <c:pt idx="4">
                  <c:v>2023</c:v>
                </c:pt>
                <c:pt idx="5">
                  <c:v>2024</c:v>
                </c:pt>
                <c:pt idx="6">
                  <c:v>2025</c:v>
                </c:pt>
              </c:numCache>
            </c:numRef>
          </c:cat>
          <c:val>
            <c:numRef>
              <c:f>'1st Division'!$L$5:$L$11</c:f>
              <c:numCache>
                <c:formatCode>0.00</c:formatCode>
                <c:ptCount val="7"/>
                <c:pt idx="0">
                  <c:v>518.5</c:v>
                </c:pt>
                <c:pt idx="1">
                  <c:v>618.75</c:v>
                </c:pt>
                <c:pt idx="2">
                  <c:v>712.375</c:v>
                </c:pt>
                <c:pt idx="3">
                  <c:v>713.1875</c:v>
                </c:pt>
                <c:pt idx="4">
                  <c:v>741.59375</c:v>
                </c:pt>
                <c:pt idx="5">
                  <c:v>682.796875</c:v>
                </c:pt>
                <c:pt idx="6">
                  <c:v>674.3984375</c:v>
                </c:pt>
              </c:numCache>
            </c:numRef>
          </c:val>
          <c:smooth val="0"/>
          <c:extLst>
            <c:ext xmlns:c16="http://schemas.microsoft.com/office/drawing/2014/chart" uri="{C3380CC4-5D6E-409C-BE32-E72D297353CC}">
              <c16:uniqueId val="{00000001-C620-5A44-9BFD-781D281B69C2}"/>
            </c:ext>
          </c:extLst>
        </c:ser>
        <c:dLbls>
          <c:showLegendKey val="0"/>
          <c:showVal val="0"/>
          <c:showCatName val="0"/>
          <c:showSerName val="0"/>
          <c:showPercent val="0"/>
          <c:showBubbleSize val="0"/>
        </c:dLbls>
        <c:marker val="1"/>
        <c:smooth val="0"/>
        <c:axId val="790296575"/>
        <c:axId val="822508863"/>
      </c:lineChart>
      <c:catAx>
        <c:axId val="79029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508863"/>
        <c:crosses val="autoZero"/>
        <c:auto val="1"/>
        <c:lblAlgn val="ctr"/>
        <c:lblOffset val="100"/>
        <c:noMultiLvlLbl val="0"/>
      </c:catAx>
      <c:valAx>
        <c:axId val="822508863"/>
        <c:scaling>
          <c:orientation val="minMax"/>
          <c:min val="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296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3rd Division | Actual vs. Forecast 2019-2025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'3rd Division'!$B$1</c:f>
              <c:strCache>
                <c:ptCount val="1"/>
                <c:pt idx="0">
                  <c:v>Actual Demand</c:v>
                </c:pt>
              </c:strCache>
            </c:strRef>
          </c:tx>
          <c:spPr>
            <a:ln w="28575" cap="rnd">
              <a:solidFill>
                <a:schemeClr val="accent1"/>
              </a:solidFill>
              <a:round/>
            </a:ln>
            <a:effectLst/>
          </c:spPr>
          <c:marker>
            <c:symbol val="circle"/>
            <c:size val="5"/>
            <c:spPr>
              <a:solidFill>
                <a:schemeClr val="accent2"/>
              </a:solidFill>
              <a:ln w="9525">
                <a:solidFill>
                  <a:schemeClr val="accent2"/>
                </a:solidFill>
              </a:ln>
              <a:effectLst/>
            </c:spPr>
          </c:marker>
          <c:cat>
            <c:numRef>
              <c:f>'3rd Division'!$A$5:$A$11</c:f>
              <c:numCache>
                <c:formatCode>General</c:formatCode>
                <c:ptCount val="7"/>
                <c:pt idx="0">
                  <c:v>2019</c:v>
                </c:pt>
                <c:pt idx="1">
                  <c:v>2020</c:v>
                </c:pt>
                <c:pt idx="2">
                  <c:v>2021</c:v>
                </c:pt>
                <c:pt idx="3">
                  <c:v>2022</c:v>
                </c:pt>
                <c:pt idx="4">
                  <c:v>2023</c:v>
                </c:pt>
                <c:pt idx="5">
                  <c:v>2024</c:v>
                </c:pt>
                <c:pt idx="6">
                  <c:v>2025</c:v>
                </c:pt>
              </c:numCache>
            </c:numRef>
          </c:cat>
          <c:val>
            <c:numRef>
              <c:f>'3rd Division'!$B$5:$B$11</c:f>
              <c:numCache>
                <c:formatCode>General</c:formatCode>
                <c:ptCount val="7"/>
                <c:pt idx="0">
                  <c:v>805</c:v>
                </c:pt>
                <c:pt idx="1">
                  <c:v>731</c:v>
                </c:pt>
                <c:pt idx="2">
                  <c:v>730</c:v>
                </c:pt>
                <c:pt idx="3">
                  <c:v>737</c:v>
                </c:pt>
                <c:pt idx="4">
                  <c:v>688</c:v>
                </c:pt>
                <c:pt idx="5">
                  <c:v>753</c:v>
                </c:pt>
                <c:pt idx="6">
                  <c:v>557</c:v>
                </c:pt>
              </c:numCache>
            </c:numRef>
          </c:val>
          <c:smooth val="0"/>
          <c:extLst>
            <c:ext xmlns:c16="http://schemas.microsoft.com/office/drawing/2014/chart" uri="{C3380CC4-5D6E-409C-BE32-E72D297353CC}">
              <c16:uniqueId val="{00000000-016E-374F-A3E9-E78F87D215E7}"/>
            </c:ext>
          </c:extLst>
        </c:ser>
        <c:ser>
          <c:idx val="2"/>
          <c:order val="1"/>
          <c:tx>
            <c:v>Weighted Moving Average</c:v>
          </c:tx>
          <c:spPr>
            <a:ln w="28575" cap="rnd">
              <a:solidFill>
                <a:schemeClr val="accent2"/>
              </a:solidFill>
              <a:prstDash val="sysDot"/>
              <a:round/>
            </a:ln>
            <a:effectLst/>
          </c:spPr>
          <c:marker>
            <c:symbol val="circle"/>
            <c:size val="5"/>
            <c:spPr>
              <a:solidFill>
                <a:schemeClr val="accent3"/>
              </a:solidFill>
              <a:ln w="9525">
                <a:solidFill>
                  <a:schemeClr val="accent3"/>
                </a:solidFill>
              </a:ln>
              <a:effectLst/>
            </c:spPr>
          </c:marker>
          <c:cat>
            <c:numRef>
              <c:f>'3rd Division'!$A$5:$A$11</c:f>
              <c:numCache>
                <c:formatCode>General</c:formatCode>
                <c:ptCount val="7"/>
                <c:pt idx="0">
                  <c:v>2019</c:v>
                </c:pt>
                <c:pt idx="1">
                  <c:v>2020</c:v>
                </c:pt>
                <c:pt idx="2">
                  <c:v>2021</c:v>
                </c:pt>
                <c:pt idx="3">
                  <c:v>2022</c:v>
                </c:pt>
                <c:pt idx="4">
                  <c:v>2023</c:v>
                </c:pt>
                <c:pt idx="5">
                  <c:v>2024</c:v>
                </c:pt>
                <c:pt idx="6">
                  <c:v>2025</c:v>
                </c:pt>
              </c:numCache>
            </c:numRef>
          </c:cat>
          <c:val>
            <c:numRef>
              <c:f>'3rd Division'!$G$5:$G$11</c:f>
              <c:numCache>
                <c:formatCode>0.00</c:formatCode>
                <c:ptCount val="7"/>
                <c:pt idx="0">
                  <c:v>528.9</c:v>
                </c:pt>
                <c:pt idx="1">
                  <c:v>683.69999999999993</c:v>
                </c:pt>
                <c:pt idx="2">
                  <c:v>744.2</c:v>
                </c:pt>
                <c:pt idx="3">
                  <c:v>745.3</c:v>
                </c:pt>
                <c:pt idx="4">
                  <c:v>733.7</c:v>
                </c:pt>
                <c:pt idx="5">
                  <c:v>711.1</c:v>
                </c:pt>
                <c:pt idx="6">
                  <c:v>730.3</c:v>
                </c:pt>
              </c:numCache>
            </c:numRef>
          </c:val>
          <c:smooth val="0"/>
          <c:extLst>
            <c:ext xmlns:c16="http://schemas.microsoft.com/office/drawing/2014/chart" uri="{C3380CC4-5D6E-409C-BE32-E72D297353CC}">
              <c16:uniqueId val="{00000001-016E-374F-A3E9-E78F87D215E7}"/>
            </c:ext>
          </c:extLst>
        </c:ser>
        <c:dLbls>
          <c:showLegendKey val="0"/>
          <c:showVal val="0"/>
          <c:showCatName val="0"/>
          <c:showSerName val="0"/>
          <c:showPercent val="0"/>
          <c:showBubbleSize val="0"/>
        </c:dLbls>
        <c:marker val="1"/>
        <c:smooth val="0"/>
        <c:axId val="790296575"/>
        <c:axId val="822508863"/>
      </c:lineChart>
      <c:catAx>
        <c:axId val="79029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508863"/>
        <c:crosses val="autoZero"/>
        <c:auto val="1"/>
        <c:lblAlgn val="ctr"/>
        <c:lblOffset val="100"/>
        <c:noMultiLvlLbl val="0"/>
      </c:catAx>
      <c:valAx>
        <c:axId val="822508863"/>
        <c:scaling>
          <c:orientation val="minMax"/>
          <c:min val="35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296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2027 Recommended Purchases</a:t>
            </a:r>
            <a:r>
              <a:rPr lang="en-US" baseline="0"/>
              <a:t> By Division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 Data'!$I$2</c:f>
              <c:strCache>
                <c:ptCount val="1"/>
                <c:pt idx="0">
                  <c:v>Baseline</c:v>
                </c:pt>
              </c:strCache>
            </c:strRef>
          </c:tx>
          <c:spPr>
            <a:solidFill>
              <a:srgbClr val="142B4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Data'!$H$3:$H$5</c:f>
              <c:strCache>
                <c:ptCount val="3"/>
                <c:pt idx="0">
                  <c:v>1st Division</c:v>
                </c:pt>
                <c:pt idx="1">
                  <c:v>2nd Division</c:v>
                </c:pt>
                <c:pt idx="2">
                  <c:v>3rd Division</c:v>
                </c:pt>
              </c:strCache>
            </c:strRef>
          </c:cat>
          <c:val>
            <c:numRef>
              <c:f>'Dashboard Data'!$I$3:$I$5</c:f>
              <c:numCache>
                <c:formatCode>0</c:formatCode>
                <c:ptCount val="3"/>
                <c:pt idx="0">
                  <c:v>695</c:v>
                </c:pt>
                <c:pt idx="1">
                  <c:v>701</c:v>
                </c:pt>
                <c:pt idx="2">
                  <c:v>643</c:v>
                </c:pt>
              </c:numCache>
            </c:numRef>
          </c:val>
          <c:extLst>
            <c:ext xmlns:c16="http://schemas.microsoft.com/office/drawing/2014/chart" uri="{C3380CC4-5D6E-409C-BE32-E72D297353CC}">
              <c16:uniqueId val="{00000000-6D2A-4277-AD3A-C02681F659CF}"/>
            </c:ext>
          </c:extLst>
        </c:ser>
        <c:ser>
          <c:idx val="1"/>
          <c:order val="1"/>
          <c:tx>
            <c:strRef>
              <c:f>'Dashboard Data'!$J$2</c:f>
              <c:strCache>
                <c:ptCount val="1"/>
                <c:pt idx="0">
                  <c:v>Conservative</c:v>
                </c:pt>
              </c:strCache>
            </c:strRef>
          </c:tx>
          <c:spPr>
            <a:solidFill>
              <a:srgbClr val="16A08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Data'!$H$3:$H$5</c:f>
              <c:strCache>
                <c:ptCount val="3"/>
                <c:pt idx="0">
                  <c:v>1st Division</c:v>
                </c:pt>
                <c:pt idx="1">
                  <c:v>2nd Division</c:v>
                </c:pt>
                <c:pt idx="2">
                  <c:v>3rd Division</c:v>
                </c:pt>
              </c:strCache>
            </c:strRef>
          </c:cat>
          <c:val>
            <c:numRef>
              <c:f>'Dashboard Data'!$J$3:$J$5</c:f>
              <c:numCache>
                <c:formatCode>0</c:formatCode>
                <c:ptCount val="3"/>
                <c:pt idx="0">
                  <c:v>710</c:v>
                </c:pt>
                <c:pt idx="1">
                  <c:v>757</c:v>
                </c:pt>
                <c:pt idx="2">
                  <c:v>746</c:v>
                </c:pt>
              </c:numCache>
            </c:numRef>
          </c:val>
          <c:extLst>
            <c:ext xmlns:c16="http://schemas.microsoft.com/office/drawing/2014/chart" uri="{C3380CC4-5D6E-409C-BE32-E72D297353CC}">
              <c16:uniqueId val="{00000001-6D2A-4277-AD3A-C02681F659CF}"/>
            </c:ext>
          </c:extLst>
        </c:ser>
        <c:dLbls>
          <c:showLegendKey val="0"/>
          <c:showVal val="0"/>
          <c:showCatName val="0"/>
          <c:showSerName val="0"/>
          <c:showPercent val="0"/>
          <c:showBubbleSize val="0"/>
        </c:dLbls>
        <c:gapWidth val="219"/>
        <c:overlap val="-27"/>
        <c:axId val="2069858255"/>
        <c:axId val="2069858735"/>
      </c:barChart>
      <c:catAx>
        <c:axId val="206985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858735"/>
        <c:crosses val="autoZero"/>
        <c:auto val="1"/>
        <c:lblAlgn val="ctr"/>
        <c:lblOffset val="100"/>
        <c:noMultiLvlLbl val="0"/>
      </c:catAx>
      <c:valAx>
        <c:axId val="2069858735"/>
        <c:scaling>
          <c:orientation val="minMax"/>
          <c:max val="9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858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584200</xdr:colOff>
      <xdr:row>16</xdr:row>
      <xdr:rowOff>184150</xdr:rowOff>
    </xdr:from>
    <xdr:to>
      <xdr:col>10</xdr:col>
      <xdr:colOff>393700</xdr:colOff>
      <xdr:row>35</xdr:row>
      <xdr:rowOff>50800</xdr:rowOff>
    </xdr:to>
    <xdr:graphicFrame macro="">
      <xdr:nvGraphicFramePr>
        <xdr:cNvPr id="4" name="Chart 3">
          <a:extLst>
            <a:ext uri="{FF2B5EF4-FFF2-40B4-BE49-F238E27FC236}">
              <a16:creationId xmlns:a16="http://schemas.microsoft.com/office/drawing/2014/main" id="{A5D913B5-CE68-7DE2-2DF4-503D9F2D2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16</xdr:row>
      <xdr:rowOff>0</xdr:rowOff>
    </xdr:from>
    <xdr:to>
      <xdr:col>8</xdr:col>
      <xdr:colOff>330200</xdr:colOff>
      <xdr:row>34</xdr:row>
      <xdr:rowOff>69850</xdr:rowOff>
    </xdr:to>
    <xdr:graphicFrame macro="">
      <xdr:nvGraphicFramePr>
        <xdr:cNvPr id="2" name="Chart 1">
          <a:extLst>
            <a:ext uri="{FF2B5EF4-FFF2-40B4-BE49-F238E27FC236}">
              <a16:creationId xmlns:a16="http://schemas.microsoft.com/office/drawing/2014/main" id="{CD662F08-0213-6547-A96F-942AAE4CB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16</xdr:row>
      <xdr:rowOff>0</xdr:rowOff>
    </xdr:from>
    <xdr:to>
      <xdr:col>8</xdr:col>
      <xdr:colOff>228600</xdr:colOff>
      <xdr:row>34</xdr:row>
      <xdr:rowOff>69850</xdr:rowOff>
    </xdr:to>
    <xdr:graphicFrame macro="">
      <xdr:nvGraphicFramePr>
        <xdr:cNvPr id="2" name="Chart 1">
          <a:extLst>
            <a:ext uri="{FF2B5EF4-FFF2-40B4-BE49-F238E27FC236}">
              <a16:creationId xmlns:a16="http://schemas.microsoft.com/office/drawing/2014/main" id="{4A82F256-9F3C-C745-B77F-A32A8F6F4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14</xdr:row>
      <xdr:rowOff>0</xdr:rowOff>
    </xdr:from>
    <xdr:to>
      <xdr:col>6</xdr:col>
      <xdr:colOff>15240</xdr:colOff>
      <xdr:row>27</xdr:row>
      <xdr:rowOff>0</xdr:rowOff>
    </xdr:to>
    <xdr:graphicFrame macro="">
      <xdr:nvGraphicFramePr>
        <xdr:cNvPr id="2" name="Chart 1">
          <a:extLst>
            <a:ext uri="{FF2B5EF4-FFF2-40B4-BE49-F238E27FC236}">
              <a16:creationId xmlns:a16="http://schemas.microsoft.com/office/drawing/2014/main" id="{38485DE3-0AC2-8ADB-949F-3334BDA5CD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BB82B3-EB9A-4F1E-A09F-C1404DBD663C}" name="Table1" displayName="Table1" ref="A1:M22" totalsRowShown="0" headerRowDxfId="23" dataDxfId="22" tableBorderDxfId="21">
  <autoFilter ref="A1:M22" xr:uid="{F2BB82B3-EB9A-4F1E-A09F-C1404DBD663C}"/>
  <tableColumns count="13">
    <tableColumn id="1" xr3:uid="{ECA31630-F135-48F5-A710-9B7FFCE5321F}" name="Classification"/>
    <tableColumn id="2" xr3:uid="{C5F191EF-21C9-44C9-986C-6B1B818A65BA}" name="Medal Type"/>
    <tableColumn id="3" xr3:uid="{8E4750F6-699D-4B0F-AC8E-31203096B518}" name="2016" dataDxfId="20"/>
    <tableColumn id="4" xr3:uid="{2BC00BD6-6D7E-4C89-BB06-FF542C2DAF44}" name="2017" dataDxfId="19"/>
    <tableColumn id="5" xr3:uid="{294CD313-1754-4CD9-AE72-1F6E04C71309}" name="2018" dataDxfId="18"/>
    <tableColumn id="6" xr3:uid="{EAFE8E2C-7BF8-4ABD-99DB-1063C5F8678E}" name="2019" dataDxfId="17"/>
    <tableColumn id="7" xr3:uid="{5F434BD1-A2E9-414B-9E11-3A485EC5A1F9}" name="2020" dataDxfId="16"/>
    <tableColumn id="8" xr3:uid="{2298156C-5554-4CBF-8537-05CA2EA38C14}" name="2021" dataDxfId="15"/>
    <tableColumn id="9" xr3:uid="{262A32E4-5716-479A-A88C-FD6668396F7C}" name="2022" dataDxfId="14"/>
    <tableColumn id="10" xr3:uid="{9E622BCB-9246-41DD-86DF-4C5B95A54309}" name="2023" dataDxfId="13"/>
    <tableColumn id="11" xr3:uid="{E072A28B-986E-4277-B073-5C5592D29DE0}" name="2024" dataDxfId="12"/>
    <tableColumn id="12" xr3:uid="{FB07C408-3F33-427C-B200-7264328E5B77}" name="2025" dataDxfId="11"/>
    <tableColumn id="13" xr3:uid="{01E15507-F1BA-43A8-9CC4-974536FD8924}" name="2026"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4FC54B-36A6-4EE0-9476-39173FC22647}" name="Table2" displayName="Table2" ref="A1:G10" totalsRowShown="0">
  <autoFilter ref="A1:G10" xr:uid="{254FC54B-36A6-4EE0-9476-39173FC22647}"/>
  <tableColumns count="7">
    <tableColumn id="1" xr3:uid="{2894D031-29CF-4D6B-800C-BEC386C37E4E}" name="Division"/>
    <tableColumn id="2" xr3:uid="{FDD5FD71-62A4-46D7-9E0D-F1E91D4E420B}" name="Forecasting Model"/>
    <tableColumn id="3" xr3:uid="{14B2C1B8-C5F9-459E-82C3-B05319180E3D}" name="MAE"/>
    <tableColumn id="4" xr3:uid="{6CE26A0E-3647-4776-B7EF-DDEBB74309AC}" name="MAPE" dataDxfId="9" dataCellStyle="Percent"/>
    <tableColumn id="5" xr3:uid="{B6C8B691-F4AB-4DE5-8218-6F30F3CB618C}" name="Bias" dataDxfId="8"/>
    <tableColumn id="6" xr3:uid="{A23D5F99-7597-4F88-8F78-354211565552}" name="2026 Forecast"/>
    <tableColumn id="7" xr3:uid="{F8DD691C-5A54-49D6-9227-1F7FF8DD51B8}" name="Best Model?">
      <calculatedColumnFormula>IF(C2=_xlfn.MINIFS($C$2:$C$10, $A$2:$A$10,A2), "Best","")</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80078E-ACD3-4E11-854E-06BDF29B0561}" name="Table3" displayName="Table3" ref="I1:K4" totalsRowShown="0">
  <autoFilter ref="I1:K4" xr:uid="{5680078E-ACD3-4E11-854E-06BDF29B0561}"/>
  <tableColumns count="3">
    <tableColumn id="1" xr3:uid="{1DB69119-707C-4086-AB0D-18E113A1F6A6}" name="Division"/>
    <tableColumn id="2" xr3:uid="{B32B4845-1A1B-4C4C-B2D9-864304383730}" name="2026 Forecast" dataDxfId="7">
      <calculatedColumnFormula>SUMIFS($F$2:$F$10, $A$2:$A$10, I2,$G$2:$G$10,"Best")</calculatedColumnFormula>
    </tableColumn>
    <tableColumn id="3" xr3:uid="{1FF4C72D-0962-472B-AD31-80AAF7BDFD12}" name="2027 Forecast" dataDxfId="6">
      <calculatedColumnFormula>'1st Division'!L15</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6E4A82-C936-4D90-B0DA-85CE0EA0AC80}" name="tblInventory" displayName="tblInventory" ref="A1:R19" totalsRowShown="0">
  <autoFilter ref="A1:R19" xr:uid="{AA6E4A82-C936-4D90-B0DA-85CE0EA0AC80}"/>
  <tableColumns count="18">
    <tableColumn id="1" xr3:uid="{5211E03E-5E99-4C3B-89B1-AF34B5E121DC}" name="Year"/>
    <tableColumn id="2" xr3:uid="{BE8F6832-4B10-4BAF-AC09-750F0527A577}" name="Division"/>
    <tableColumn id="3" xr3:uid="{6D0866D2-CE56-4A93-8FCE-80715A3A5396}" name="Beginning Inventory" dataDxfId="5"/>
    <tableColumn id="4" xr3:uid="{96B8447C-C777-4C65-A593-51D0067D6ACD}" name="Medals Purchased" dataDxfId="4"/>
    <tableColumn id="5" xr3:uid="{EB4AC5FA-D76D-459C-B546-FFFAC2A71893}" name="Medals Awarded">
      <calculatedColumnFormula>SUMIF(Table1[Medal Type],B2,INDEX(Table1[],0,MATCH(A2&amp;"",Table1[#Headers],0)))</calculatedColumnFormula>
    </tableColumn>
    <tableColumn id="6" xr3:uid="{129B1229-E345-4F16-BFFE-6555F2BF3460}" name="Ending Inventory" dataDxfId="3"/>
    <tableColumn id="7" xr3:uid="{915C2943-E8B0-4B11-8AD5-F53BA472D570}" name="Inventory Adjustment" dataDxfId="2">
      <calculatedColumnFormula>F2-(C2+D2-E2)</calculatedColumnFormula>
    </tableColumn>
    <tableColumn id="8" xr3:uid="{6370A42A-86BC-42A4-B832-D6E9A3695B0D}" name="Forecast Demand"/>
    <tableColumn id="9" xr3:uid="{E5739532-9C59-4B89-ABF9-D61154056FEE}" name="Projected Ending Inventory"/>
    <tableColumn id="12" xr3:uid="{783FDD79-14EA-4388-A9F4-C232CE1871F3}" name="Historical MAE"/>
    <tableColumn id="11" xr3:uid="{E17C9706-32B5-4193-BACF-527455D38C25}" name="Safety Stock"/>
    <tableColumn id="10" xr3:uid="{04805307-A3B5-4615-9CA3-C07C48E45681}" name="Risk-Adjusted Ending Inventory"/>
    <tableColumn id="15" xr3:uid="{034ED4C7-9E8D-43F7-BDD2-84481748C3E8}" name="Target Inventory"/>
    <tableColumn id="14" xr3:uid="{386DDCD9-F1ED-4676-8F97-1300ADE4A130}" name="Recommended Purchase"/>
    <tableColumn id="13" xr3:uid="{AFB1E93D-60D8-4B70-839E-3C8FA67339DF}" name="Projected Ending After Purchase"/>
    <tableColumn id="16" xr3:uid="{E16E3C62-6392-4472-8F2A-CDBF4EF8561B}" name="Conservative Safety Stock"/>
    <tableColumn id="17" xr3:uid="{BC394108-C198-4D86-B75F-43A650FC44F1}" name="Conservative Recommended Purchase"/>
    <tableColumn id="18" xr3:uid="{48DF65B3-0C6E-416C-A567-26AD24C5E168}" name="Additional Medal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42D987-28D3-438E-88FB-8723FA1F5E90}" name="Table5" displayName="Table5" ref="A1:B4" totalsRowShown="0">
  <autoFilter ref="A1:B4" xr:uid="{4A42D987-28D3-438E-88FB-8723FA1F5E90}"/>
  <tableColumns count="2">
    <tableColumn id="1" xr3:uid="{207139D5-E5D6-4C14-8E6A-852C28A3300B}" name="Description"/>
    <tableColumn id="2" xr3:uid="{D146D234-7859-49D3-A131-22F75715D89E}" name="Value"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A3892-59D7-4AE7-A077-1D052E63CE96}">
  <dimension ref="A1:L48"/>
  <sheetViews>
    <sheetView view="pageBreakPreview" zoomScaleNormal="100" zoomScaleSheetLayoutView="100" workbookViewId="0">
      <selection activeCell="E53" sqref="E53"/>
    </sheetView>
  </sheetViews>
  <sheetFormatPr defaultRowHeight="15.6" x14ac:dyDescent="0.3"/>
  <cols>
    <col min="1" max="2" width="23.8984375" customWidth="1"/>
    <col min="3" max="6" width="17.69921875" customWidth="1"/>
  </cols>
  <sheetData>
    <row r="1" spans="1:6" ht="25.8" customHeight="1" x14ac:dyDescent="0.3">
      <c r="A1" s="46" t="s">
        <v>107</v>
      </c>
      <c r="B1" s="46"/>
      <c r="C1" s="46"/>
      <c r="D1" s="46"/>
      <c r="E1" s="46"/>
      <c r="F1" s="46"/>
    </row>
    <row r="2" spans="1:6" x14ac:dyDescent="0.3">
      <c r="A2" s="46"/>
      <c r="B2" s="46"/>
      <c r="C2" s="46"/>
      <c r="D2" s="46"/>
      <c r="E2" s="46"/>
      <c r="F2" s="46"/>
    </row>
    <row r="3" spans="1:6" ht="18" customHeight="1" x14ac:dyDescent="0.35">
      <c r="A3" s="41" t="s">
        <v>108</v>
      </c>
      <c r="B3" s="41"/>
    </row>
    <row r="4" spans="1:6" ht="48.6" customHeight="1" x14ac:dyDescent="0.3">
      <c r="A4" s="39" t="s">
        <v>109</v>
      </c>
      <c r="B4" s="39"/>
      <c r="C4" s="39"/>
      <c r="D4" s="39"/>
      <c r="E4" s="39"/>
      <c r="F4" s="39"/>
    </row>
    <row r="6" spans="1:6" ht="18" x14ac:dyDescent="0.35">
      <c r="A6" s="41" t="s">
        <v>110</v>
      </c>
      <c r="B6" s="41"/>
    </row>
    <row r="7" spans="1:6" ht="97.8" customHeight="1" x14ac:dyDescent="0.3">
      <c r="A7" s="39" t="s">
        <v>134</v>
      </c>
      <c r="B7" s="39"/>
      <c r="C7" s="39"/>
      <c r="D7" s="39"/>
      <c r="E7" s="39"/>
      <c r="F7" s="39"/>
    </row>
    <row r="9" spans="1:6" ht="18" x14ac:dyDescent="0.35">
      <c r="A9" s="41" t="s">
        <v>111</v>
      </c>
      <c r="B9" s="41"/>
    </row>
    <row r="10" spans="1:6" ht="127.8" customHeight="1" x14ac:dyDescent="0.3">
      <c r="A10" s="47" t="s">
        <v>133</v>
      </c>
      <c r="B10" s="47"/>
      <c r="C10" s="47"/>
      <c r="D10" s="47"/>
      <c r="E10" s="47"/>
      <c r="F10" s="47"/>
    </row>
    <row r="12" spans="1:6" ht="18" x14ac:dyDescent="0.35">
      <c r="A12" s="41" t="s">
        <v>112</v>
      </c>
      <c r="B12" s="41"/>
    </row>
    <row r="13" spans="1:6" ht="130.80000000000001" customHeight="1" x14ac:dyDescent="0.3">
      <c r="A13" s="39" t="s">
        <v>135</v>
      </c>
      <c r="B13" s="39"/>
      <c r="C13" s="39"/>
      <c r="D13" s="39"/>
      <c r="E13" s="39"/>
      <c r="F13" s="39"/>
    </row>
    <row r="15" spans="1:6" x14ac:dyDescent="0.3">
      <c r="A15" s="35" t="s">
        <v>37</v>
      </c>
      <c r="B15" s="35" t="s">
        <v>113</v>
      </c>
      <c r="C15" s="35" t="s">
        <v>114</v>
      </c>
    </row>
    <row r="16" spans="1:6" x14ac:dyDescent="0.3">
      <c r="A16" s="38" t="s">
        <v>0</v>
      </c>
      <c r="B16" s="38" t="s">
        <v>20</v>
      </c>
      <c r="C16" s="38" t="s">
        <v>115</v>
      </c>
    </row>
    <row r="17" spans="1:6" x14ac:dyDescent="0.3">
      <c r="A17" s="38" t="s">
        <v>1</v>
      </c>
      <c r="B17" s="38" t="s">
        <v>20</v>
      </c>
      <c r="C17" s="38" t="s">
        <v>115</v>
      </c>
    </row>
    <row r="18" spans="1:6" x14ac:dyDescent="0.3">
      <c r="A18" s="38" t="s">
        <v>2</v>
      </c>
      <c r="B18" s="38" t="s">
        <v>47</v>
      </c>
      <c r="C18" s="38" t="s">
        <v>116</v>
      </c>
    </row>
    <row r="19" spans="1:6" x14ac:dyDescent="0.3">
      <c r="A19" s="36"/>
    </row>
    <row r="20" spans="1:6" ht="18" x14ac:dyDescent="0.35">
      <c r="A20" s="37" t="s">
        <v>117</v>
      </c>
    </row>
    <row r="21" spans="1:6" ht="161.4" customHeight="1" x14ac:dyDescent="0.3">
      <c r="A21" s="45" t="s">
        <v>136</v>
      </c>
      <c r="B21" s="45"/>
      <c r="C21" s="45"/>
      <c r="D21" s="45"/>
      <c r="E21" s="45"/>
      <c r="F21" s="45"/>
    </row>
    <row r="23" spans="1:6" ht="18" x14ac:dyDescent="0.35">
      <c r="A23" s="41" t="s">
        <v>118</v>
      </c>
      <c r="B23" s="41"/>
    </row>
    <row r="24" spans="1:6" ht="145.80000000000001" customHeight="1" x14ac:dyDescent="0.3">
      <c r="A24" s="39" t="s">
        <v>137</v>
      </c>
      <c r="B24" s="39"/>
      <c r="C24" s="39"/>
      <c r="D24" s="39"/>
      <c r="E24" s="39"/>
      <c r="F24" s="39"/>
    </row>
    <row r="26" spans="1:6" x14ac:dyDescent="0.3">
      <c r="A26" s="35" t="s">
        <v>119</v>
      </c>
      <c r="B26" s="43" t="s">
        <v>120</v>
      </c>
      <c r="C26" s="43"/>
      <c r="D26" s="43"/>
    </row>
    <row r="27" spans="1:6" x14ac:dyDescent="0.3">
      <c r="A27" s="38" t="s">
        <v>121</v>
      </c>
      <c r="B27" s="42" t="s">
        <v>122</v>
      </c>
      <c r="C27" s="42"/>
      <c r="D27" s="42"/>
    </row>
    <row r="28" spans="1:6" x14ac:dyDescent="0.3">
      <c r="A28" s="38" t="s">
        <v>92</v>
      </c>
      <c r="B28" s="42" t="s">
        <v>123</v>
      </c>
      <c r="C28" s="42"/>
      <c r="D28" s="42"/>
    </row>
    <row r="29" spans="1:6" x14ac:dyDescent="0.3">
      <c r="A29" s="38" t="s">
        <v>70</v>
      </c>
      <c r="B29" s="42" t="s">
        <v>124</v>
      </c>
      <c r="C29" s="42"/>
      <c r="D29" s="42"/>
    </row>
    <row r="30" spans="1:6" x14ac:dyDescent="0.3">
      <c r="A30" s="38" t="s">
        <v>64</v>
      </c>
      <c r="B30" s="42" t="s">
        <v>125</v>
      </c>
      <c r="C30" s="42"/>
      <c r="D30" s="42"/>
    </row>
    <row r="32" spans="1:6" ht="18" x14ac:dyDescent="0.35">
      <c r="A32" s="44" t="s">
        <v>126</v>
      </c>
      <c r="B32" s="44"/>
    </row>
    <row r="33" spans="1:12" ht="163.19999999999999" customHeight="1" x14ac:dyDescent="0.3">
      <c r="A33" s="39" t="s">
        <v>138</v>
      </c>
      <c r="B33" s="39"/>
      <c r="C33" s="39"/>
      <c r="D33" s="39"/>
      <c r="E33" s="39"/>
      <c r="F33" s="39"/>
    </row>
    <row r="35" spans="1:12" ht="18" x14ac:dyDescent="0.35">
      <c r="A35" s="41" t="s">
        <v>127</v>
      </c>
      <c r="B35" s="41"/>
    </row>
    <row r="36" spans="1:12" ht="97.8" customHeight="1" x14ac:dyDescent="0.3">
      <c r="A36" s="39" t="s">
        <v>132</v>
      </c>
      <c r="B36" s="39"/>
      <c r="C36" s="39"/>
      <c r="D36" s="39"/>
      <c r="E36" s="39"/>
      <c r="F36" s="39"/>
    </row>
    <row r="38" spans="1:12" ht="18" x14ac:dyDescent="0.35">
      <c r="A38" s="41" t="s">
        <v>128</v>
      </c>
      <c r="B38" s="41"/>
    </row>
    <row r="39" spans="1:12" ht="162.6" customHeight="1" x14ac:dyDescent="0.3">
      <c r="A39" s="39" t="s">
        <v>139</v>
      </c>
      <c r="B39" s="39"/>
      <c r="C39" s="39"/>
      <c r="D39" s="39"/>
      <c r="E39" s="39"/>
      <c r="F39" s="39"/>
    </row>
    <row r="41" spans="1:12" ht="18" x14ac:dyDescent="0.35">
      <c r="A41" s="41" t="s">
        <v>129</v>
      </c>
      <c r="B41" s="41"/>
    </row>
    <row r="42" spans="1:12" ht="31.8" customHeight="1" x14ac:dyDescent="0.3">
      <c r="A42" s="40" t="s">
        <v>140</v>
      </c>
      <c r="B42" s="40"/>
      <c r="C42" s="40"/>
      <c r="D42" s="40"/>
      <c r="E42" s="40"/>
      <c r="F42" s="40"/>
      <c r="G42" s="33"/>
      <c r="H42" s="33"/>
      <c r="I42" s="33"/>
      <c r="J42" s="33"/>
      <c r="K42" s="33"/>
      <c r="L42" s="33"/>
    </row>
    <row r="43" spans="1:12" ht="32.4" customHeight="1" x14ac:dyDescent="0.3">
      <c r="A43" s="40" t="s">
        <v>141</v>
      </c>
      <c r="B43" s="40"/>
      <c r="C43" s="40"/>
      <c r="D43" s="40"/>
      <c r="E43" s="40"/>
      <c r="F43" s="40"/>
      <c r="G43" s="33"/>
      <c r="H43" s="33"/>
      <c r="I43" s="33"/>
      <c r="J43" s="33"/>
      <c r="K43" s="33"/>
      <c r="L43" s="33"/>
    </row>
    <row r="44" spans="1:12" ht="31.2" customHeight="1" x14ac:dyDescent="0.3">
      <c r="A44" s="40" t="s">
        <v>142</v>
      </c>
      <c r="B44" s="40"/>
      <c r="C44" s="40"/>
      <c r="D44" s="40"/>
      <c r="E44" s="40"/>
      <c r="F44" s="40"/>
      <c r="G44" s="33"/>
      <c r="H44" s="33"/>
      <c r="I44" s="33"/>
      <c r="J44" s="33"/>
    </row>
    <row r="45" spans="1:12" ht="30.6" customHeight="1" x14ac:dyDescent="0.3">
      <c r="A45" s="40" t="s">
        <v>143</v>
      </c>
      <c r="B45" s="40"/>
      <c r="C45" s="40"/>
      <c r="D45" s="40"/>
      <c r="E45" s="40"/>
      <c r="F45" s="40"/>
      <c r="G45" s="33"/>
      <c r="H45" s="33"/>
    </row>
    <row r="47" spans="1:12" ht="18" x14ac:dyDescent="0.35">
      <c r="A47" s="34" t="s">
        <v>130</v>
      </c>
    </row>
    <row r="48" spans="1:12" ht="94.2" customHeight="1" x14ac:dyDescent="0.3">
      <c r="A48" s="39" t="s">
        <v>144</v>
      </c>
      <c r="B48" s="39"/>
      <c r="C48" s="39"/>
      <c r="D48" s="39"/>
      <c r="E48" s="39"/>
      <c r="F48" s="39"/>
    </row>
  </sheetData>
  <mergeCells count="29">
    <mergeCell ref="A21:F21"/>
    <mergeCell ref="A24:F24"/>
    <mergeCell ref="A23:B23"/>
    <mergeCell ref="B29:D29"/>
    <mergeCell ref="A1:F2"/>
    <mergeCell ref="A4:F4"/>
    <mergeCell ref="A7:F7"/>
    <mergeCell ref="A10:F10"/>
    <mergeCell ref="A13:F13"/>
    <mergeCell ref="A3:B3"/>
    <mergeCell ref="A6:B6"/>
    <mergeCell ref="A9:B9"/>
    <mergeCell ref="A12:B12"/>
    <mergeCell ref="B30:D30"/>
    <mergeCell ref="B27:D27"/>
    <mergeCell ref="B28:D28"/>
    <mergeCell ref="B26:D26"/>
    <mergeCell ref="A33:F33"/>
    <mergeCell ref="A32:B32"/>
    <mergeCell ref="A35:B35"/>
    <mergeCell ref="A36:F36"/>
    <mergeCell ref="A38:B38"/>
    <mergeCell ref="A39:F39"/>
    <mergeCell ref="A41:B41"/>
    <mergeCell ref="A48:F48"/>
    <mergeCell ref="A42:F42"/>
    <mergeCell ref="A43:F43"/>
    <mergeCell ref="A44:F44"/>
    <mergeCell ref="A45:F45"/>
  </mergeCells>
  <pageMargins left="0.7" right="0.7" top="0.75" bottom="0.75" header="0.3" footer="0.3"/>
  <pageSetup scale="84" orientation="landscape" horizontalDpi="90" verticalDpi="90" r:id="rId1"/>
  <rowBreaks count="3" manualBreakCount="3">
    <brk id="11" max="16383" man="1"/>
    <brk id="22" max="16383" man="1"/>
    <brk id="37" max="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67551-71C4-FB40-9D67-CDC0380D24A9}">
  <dimension ref="A1:O29"/>
  <sheetViews>
    <sheetView workbookViewId="0">
      <selection activeCell="C3" sqref="C3"/>
    </sheetView>
  </sheetViews>
  <sheetFormatPr defaultColWidth="11" defaultRowHeight="15.6" x14ac:dyDescent="0.3"/>
  <cols>
    <col min="1" max="1" width="13.796875" bestFit="1" customWidth="1"/>
    <col min="2" max="2" width="12.796875" style="2" bestFit="1" customWidth="1"/>
    <col min="3" max="3" width="9.5" bestFit="1" customWidth="1"/>
    <col min="4" max="10" width="9.5" style="1" bestFit="1" customWidth="1"/>
    <col min="11" max="13" width="9.5" bestFit="1" customWidth="1"/>
    <col min="14" max="14" width="16.296875" bestFit="1" customWidth="1"/>
    <col min="15" max="15" width="5.69921875" bestFit="1" customWidth="1"/>
  </cols>
  <sheetData>
    <row r="1" spans="1:15" x14ac:dyDescent="0.3">
      <c r="A1" s="12" t="s">
        <v>32</v>
      </c>
      <c r="B1" s="13" t="s">
        <v>33</v>
      </c>
      <c r="C1" s="14" t="s">
        <v>21</v>
      </c>
      <c r="D1" s="14" t="s">
        <v>22</v>
      </c>
      <c r="E1" s="14" t="s">
        <v>23</v>
      </c>
      <c r="F1" s="14" t="s">
        <v>24</v>
      </c>
      <c r="G1" s="14" t="s">
        <v>25</v>
      </c>
      <c r="H1" s="14" t="s">
        <v>26</v>
      </c>
      <c r="I1" s="14" t="s">
        <v>27</v>
      </c>
      <c r="J1" s="14" t="s">
        <v>28</v>
      </c>
      <c r="K1" s="15" t="s">
        <v>29</v>
      </c>
      <c r="L1" s="14" t="s">
        <v>30</v>
      </c>
      <c r="M1" s="15" t="s">
        <v>31</v>
      </c>
    </row>
    <row r="2" spans="1:15" x14ac:dyDescent="0.3">
      <c r="A2" t="s">
        <v>3</v>
      </c>
      <c r="B2" t="s">
        <v>0</v>
      </c>
      <c r="C2" s="1">
        <v>25</v>
      </c>
      <c r="D2" s="1">
        <v>30</v>
      </c>
      <c r="E2" s="1">
        <v>34</v>
      </c>
      <c r="F2" s="1">
        <v>47</v>
      </c>
      <c r="G2" s="1">
        <v>53</v>
      </c>
      <c r="H2" s="1">
        <v>34</v>
      </c>
      <c r="I2" s="1">
        <v>23</v>
      </c>
      <c r="J2" s="1">
        <v>42</v>
      </c>
      <c r="K2" s="1">
        <v>49</v>
      </c>
      <c r="L2" s="1">
        <v>31</v>
      </c>
      <c r="M2" s="11"/>
    </row>
    <row r="3" spans="1:15" x14ac:dyDescent="0.3">
      <c r="A3" t="s">
        <v>3</v>
      </c>
      <c r="B3" t="s">
        <v>1</v>
      </c>
      <c r="C3" s="1">
        <v>26</v>
      </c>
      <c r="D3" s="1">
        <v>34</v>
      </c>
      <c r="E3" s="1">
        <v>16</v>
      </c>
      <c r="F3" s="1">
        <v>32</v>
      </c>
      <c r="G3" s="1">
        <v>54</v>
      </c>
      <c r="H3" s="1">
        <v>24</v>
      </c>
      <c r="I3" s="1">
        <v>50</v>
      </c>
      <c r="J3" s="1">
        <v>23</v>
      </c>
      <c r="K3" s="1">
        <v>52</v>
      </c>
      <c r="L3" s="1">
        <v>43</v>
      </c>
      <c r="M3" s="11"/>
      <c r="N3" s="4"/>
      <c r="O3" s="2"/>
    </row>
    <row r="4" spans="1:15" x14ac:dyDescent="0.3">
      <c r="A4" t="s">
        <v>3</v>
      </c>
      <c r="B4" t="s">
        <v>2</v>
      </c>
      <c r="C4" s="1">
        <v>25</v>
      </c>
      <c r="D4" s="1">
        <v>19</v>
      </c>
      <c r="E4" s="1">
        <v>22</v>
      </c>
      <c r="F4" s="1">
        <v>30</v>
      </c>
      <c r="G4" s="1">
        <v>27</v>
      </c>
      <c r="H4" s="1">
        <v>22</v>
      </c>
      <c r="I4" s="1">
        <v>27</v>
      </c>
      <c r="J4" s="1">
        <v>43</v>
      </c>
      <c r="K4" s="1">
        <v>37</v>
      </c>
      <c r="L4" s="1">
        <v>39</v>
      </c>
      <c r="M4" s="11"/>
      <c r="N4" s="4"/>
      <c r="O4" s="2"/>
    </row>
    <row r="5" spans="1:15" x14ac:dyDescent="0.3">
      <c r="A5" t="s">
        <v>4</v>
      </c>
      <c r="B5" t="s">
        <v>0</v>
      </c>
      <c r="C5" s="1">
        <v>31</v>
      </c>
      <c r="D5" s="1">
        <v>80</v>
      </c>
      <c r="E5" s="1">
        <v>56</v>
      </c>
      <c r="F5" s="1">
        <v>84</v>
      </c>
      <c r="G5" s="1">
        <v>75</v>
      </c>
      <c r="H5" s="1">
        <v>64</v>
      </c>
      <c r="I5" s="1">
        <v>85</v>
      </c>
      <c r="J5" s="1">
        <v>80</v>
      </c>
      <c r="K5" s="1">
        <v>48</v>
      </c>
      <c r="L5" s="1">
        <v>38</v>
      </c>
      <c r="M5" s="11"/>
      <c r="N5" s="4"/>
      <c r="O5" s="2"/>
    </row>
    <row r="6" spans="1:15" x14ac:dyDescent="0.3">
      <c r="A6" t="s">
        <v>4</v>
      </c>
      <c r="B6" t="s">
        <v>1</v>
      </c>
      <c r="C6" s="1">
        <v>72</v>
      </c>
      <c r="D6" s="1">
        <v>45</v>
      </c>
      <c r="E6" s="1">
        <v>36</v>
      </c>
      <c r="F6" s="1">
        <v>48</v>
      </c>
      <c r="G6" s="1">
        <v>80</v>
      </c>
      <c r="H6" s="1">
        <v>30</v>
      </c>
      <c r="I6" s="1">
        <v>78</v>
      </c>
      <c r="J6" s="1">
        <v>44</v>
      </c>
      <c r="K6" s="1">
        <v>68</v>
      </c>
      <c r="L6" s="1">
        <v>34</v>
      </c>
      <c r="M6" s="1"/>
      <c r="O6" s="1"/>
    </row>
    <row r="7" spans="1:15" x14ac:dyDescent="0.3">
      <c r="A7" t="s">
        <v>4</v>
      </c>
      <c r="B7" t="s">
        <v>2</v>
      </c>
      <c r="C7" s="1">
        <v>54</v>
      </c>
      <c r="D7" s="1">
        <v>42</v>
      </c>
      <c r="E7" s="1">
        <v>64</v>
      </c>
      <c r="F7" s="1">
        <v>81</v>
      </c>
      <c r="G7" s="1">
        <v>37</v>
      </c>
      <c r="H7" s="1">
        <v>83</v>
      </c>
      <c r="I7" s="1">
        <v>59</v>
      </c>
      <c r="J7" s="1">
        <v>67</v>
      </c>
      <c r="K7" s="1">
        <v>58</v>
      </c>
      <c r="L7" s="1">
        <v>58</v>
      </c>
      <c r="M7" s="1"/>
      <c r="N7" s="4"/>
      <c r="O7" s="1"/>
    </row>
    <row r="8" spans="1:15" x14ac:dyDescent="0.3">
      <c r="A8" t="s">
        <v>5</v>
      </c>
      <c r="B8" t="s">
        <v>0</v>
      </c>
      <c r="C8" s="1">
        <v>109</v>
      </c>
      <c r="D8" s="1">
        <v>97</v>
      </c>
      <c r="E8" s="1">
        <v>103</v>
      </c>
      <c r="F8" s="1">
        <v>91</v>
      </c>
      <c r="G8" s="1">
        <v>91</v>
      </c>
      <c r="H8" s="1">
        <v>110</v>
      </c>
      <c r="I8" s="1">
        <v>85</v>
      </c>
      <c r="J8" s="1">
        <v>61</v>
      </c>
      <c r="K8" s="1">
        <v>95</v>
      </c>
      <c r="L8" s="1">
        <v>63</v>
      </c>
      <c r="M8" s="11"/>
      <c r="N8" s="4"/>
      <c r="O8" s="1"/>
    </row>
    <row r="9" spans="1:15" x14ac:dyDescent="0.3">
      <c r="A9" t="s">
        <v>5</v>
      </c>
      <c r="B9" t="s">
        <v>1</v>
      </c>
      <c r="C9" s="1">
        <v>98</v>
      </c>
      <c r="D9" s="1">
        <v>82</v>
      </c>
      <c r="E9" s="1">
        <v>62</v>
      </c>
      <c r="F9" s="1">
        <v>74</v>
      </c>
      <c r="G9" s="1">
        <v>58</v>
      </c>
      <c r="H9" s="1">
        <v>69</v>
      </c>
      <c r="I9" s="1">
        <v>62</v>
      </c>
      <c r="J9" s="1">
        <v>54</v>
      </c>
      <c r="K9" s="1">
        <v>108</v>
      </c>
      <c r="L9" s="1">
        <v>94</v>
      </c>
      <c r="M9" s="1"/>
      <c r="N9" s="4"/>
      <c r="O9" s="1"/>
    </row>
    <row r="10" spans="1:15" x14ac:dyDescent="0.3">
      <c r="A10" t="s">
        <v>5</v>
      </c>
      <c r="B10" t="s">
        <v>2</v>
      </c>
      <c r="C10" s="1">
        <v>72</v>
      </c>
      <c r="D10" s="1">
        <v>76</v>
      </c>
      <c r="E10" s="1">
        <v>94</v>
      </c>
      <c r="F10" s="1">
        <v>80</v>
      </c>
      <c r="G10" s="1">
        <v>100</v>
      </c>
      <c r="H10" s="1">
        <v>81</v>
      </c>
      <c r="I10" s="1">
        <v>110</v>
      </c>
      <c r="J10" s="1">
        <v>71</v>
      </c>
      <c r="K10" s="1">
        <v>75</v>
      </c>
      <c r="L10" s="1">
        <v>48</v>
      </c>
      <c r="M10" s="1"/>
      <c r="N10" s="4"/>
      <c r="O10" s="1"/>
    </row>
    <row r="11" spans="1:15" x14ac:dyDescent="0.3">
      <c r="A11" t="s">
        <v>6</v>
      </c>
      <c r="B11" t="s">
        <v>0</v>
      </c>
      <c r="C11" s="1">
        <v>95</v>
      </c>
      <c r="D11" s="1">
        <v>115</v>
      </c>
      <c r="E11" s="1">
        <v>93</v>
      </c>
      <c r="F11" s="1">
        <v>122</v>
      </c>
      <c r="G11" s="1">
        <v>73</v>
      </c>
      <c r="H11" s="1">
        <v>113</v>
      </c>
      <c r="I11" s="1">
        <v>111</v>
      </c>
      <c r="J11" s="1">
        <v>109</v>
      </c>
      <c r="K11" s="1">
        <v>72</v>
      </c>
      <c r="L11" s="1">
        <v>113</v>
      </c>
      <c r="M11" s="11"/>
    </row>
    <row r="12" spans="1:15" x14ac:dyDescent="0.3">
      <c r="A12" t="s">
        <v>6</v>
      </c>
      <c r="B12" t="s">
        <v>1</v>
      </c>
      <c r="C12" s="1">
        <v>123</v>
      </c>
      <c r="D12" s="1">
        <v>64</v>
      </c>
      <c r="E12" s="1">
        <v>109</v>
      </c>
      <c r="F12" s="1">
        <v>82</v>
      </c>
      <c r="G12" s="1">
        <v>117</v>
      </c>
      <c r="H12" s="1">
        <v>131</v>
      </c>
      <c r="I12" s="1">
        <v>82</v>
      </c>
      <c r="J12" s="1">
        <v>78</v>
      </c>
      <c r="K12" s="1">
        <v>72</v>
      </c>
      <c r="L12" s="1">
        <v>138</v>
      </c>
      <c r="M12" s="1"/>
      <c r="N12" s="4"/>
    </row>
    <row r="13" spans="1:15" x14ac:dyDescent="0.3">
      <c r="A13" t="s">
        <v>6</v>
      </c>
      <c r="B13" t="s">
        <v>2</v>
      </c>
      <c r="C13" s="1">
        <v>62</v>
      </c>
      <c r="D13" s="1">
        <v>119</v>
      </c>
      <c r="E13" s="1">
        <v>98</v>
      </c>
      <c r="F13" s="1">
        <v>103</v>
      </c>
      <c r="G13" s="1">
        <v>78</v>
      </c>
      <c r="H13" s="1">
        <v>131</v>
      </c>
      <c r="I13" s="1">
        <v>124</v>
      </c>
      <c r="J13" s="1">
        <v>133</v>
      </c>
      <c r="K13" s="1">
        <v>133</v>
      </c>
      <c r="L13" s="1">
        <v>85</v>
      </c>
      <c r="M13" s="1"/>
      <c r="N13" s="4"/>
      <c r="O13" s="6"/>
    </row>
    <row r="14" spans="1:15" x14ac:dyDescent="0.3">
      <c r="A14" t="s">
        <v>7</v>
      </c>
      <c r="B14" t="s">
        <v>0</v>
      </c>
      <c r="C14" s="1">
        <v>158</v>
      </c>
      <c r="D14" s="1">
        <v>82</v>
      </c>
      <c r="E14" s="1">
        <v>89</v>
      </c>
      <c r="F14" s="1">
        <v>87</v>
      </c>
      <c r="G14" s="1">
        <v>135</v>
      </c>
      <c r="H14" s="1">
        <v>91</v>
      </c>
      <c r="I14" s="1">
        <v>139</v>
      </c>
      <c r="J14" s="1">
        <v>87</v>
      </c>
      <c r="K14" s="1">
        <v>104</v>
      </c>
      <c r="L14" s="1">
        <v>164</v>
      </c>
      <c r="M14" s="11"/>
      <c r="N14" s="4"/>
      <c r="O14" s="6"/>
    </row>
    <row r="15" spans="1:15" x14ac:dyDescent="0.3">
      <c r="A15" t="s">
        <v>7</v>
      </c>
      <c r="B15" t="s">
        <v>1</v>
      </c>
      <c r="C15" s="1">
        <v>148</v>
      </c>
      <c r="D15" s="1">
        <v>124</v>
      </c>
      <c r="E15" s="1">
        <v>90</v>
      </c>
      <c r="F15" s="1">
        <v>135</v>
      </c>
      <c r="G15" s="1">
        <v>126</v>
      </c>
      <c r="H15" s="1">
        <v>96</v>
      </c>
      <c r="I15" s="1">
        <v>161</v>
      </c>
      <c r="J15" s="1">
        <v>89</v>
      </c>
      <c r="K15" s="1">
        <v>106</v>
      </c>
      <c r="L15" s="1">
        <v>131</v>
      </c>
      <c r="M15" s="1"/>
      <c r="N15" s="4"/>
      <c r="O15" s="6"/>
    </row>
    <row r="16" spans="1:15" x14ac:dyDescent="0.3">
      <c r="A16" t="s">
        <v>7</v>
      </c>
      <c r="B16" t="s">
        <v>2</v>
      </c>
      <c r="C16" s="1">
        <v>151</v>
      </c>
      <c r="D16" s="1">
        <v>121</v>
      </c>
      <c r="E16" s="1">
        <v>149</v>
      </c>
      <c r="F16" s="1">
        <v>131</v>
      </c>
      <c r="G16" s="1">
        <v>150</v>
      </c>
      <c r="H16" s="1">
        <v>86</v>
      </c>
      <c r="I16" s="1">
        <v>122</v>
      </c>
      <c r="J16" s="1">
        <v>119</v>
      </c>
      <c r="K16" s="1">
        <v>165</v>
      </c>
      <c r="L16" s="1">
        <v>103</v>
      </c>
      <c r="M16" s="1"/>
    </row>
    <row r="17" spans="1:15" x14ac:dyDescent="0.3">
      <c r="A17" t="s">
        <v>8</v>
      </c>
      <c r="B17" t="s">
        <v>0</v>
      </c>
      <c r="C17" s="1" t="s">
        <v>131</v>
      </c>
      <c r="D17" s="1" t="s">
        <v>131</v>
      </c>
      <c r="E17" s="1">
        <v>138</v>
      </c>
      <c r="F17" s="1">
        <v>133</v>
      </c>
      <c r="G17" s="1">
        <v>175</v>
      </c>
      <c r="H17" s="1">
        <v>93</v>
      </c>
      <c r="I17" s="1">
        <v>145</v>
      </c>
      <c r="J17" s="1">
        <v>107</v>
      </c>
      <c r="K17" s="1">
        <v>155</v>
      </c>
      <c r="L17" s="1">
        <v>164</v>
      </c>
      <c r="M17" s="11"/>
      <c r="O17" s="1"/>
    </row>
    <row r="18" spans="1:15" x14ac:dyDescent="0.3">
      <c r="A18" t="s">
        <v>8</v>
      </c>
      <c r="B18" t="s">
        <v>1</v>
      </c>
      <c r="C18" s="1" t="s">
        <v>131</v>
      </c>
      <c r="D18" s="1" t="s">
        <v>131</v>
      </c>
      <c r="E18" s="1">
        <v>189</v>
      </c>
      <c r="F18" s="1">
        <v>91</v>
      </c>
      <c r="G18" s="1">
        <v>190</v>
      </c>
      <c r="H18" s="1">
        <v>94</v>
      </c>
      <c r="I18" s="1">
        <v>133</v>
      </c>
      <c r="J18" s="1">
        <v>148</v>
      </c>
      <c r="K18" s="1">
        <v>175</v>
      </c>
      <c r="L18" s="1">
        <v>136</v>
      </c>
      <c r="M18" s="1"/>
      <c r="O18" s="1"/>
    </row>
    <row r="19" spans="1:15" x14ac:dyDescent="0.3">
      <c r="A19" t="s">
        <v>8</v>
      </c>
      <c r="B19" t="s">
        <v>2</v>
      </c>
      <c r="C19" s="1" t="s">
        <v>131</v>
      </c>
      <c r="D19" s="1" t="s">
        <v>131</v>
      </c>
      <c r="E19" s="1">
        <v>152</v>
      </c>
      <c r="F19" s="1">
        <v>190</v>
      </c>
      <c r="G19" s="1">
        <v>173</v>
      </c>
      <c r="H19" s="1">
        <v>186</v>
      </c>
      <c r="I19" s="1">
        <v>152</v>
      </c>
      <c r="J19" s="1">
        <v>91</v>
      </c>
      <c r="K19" s="1">
        <v>137</v>
      </c>
      <c r="L19" s="1">
        <v>113</v>
      </c>
      <c r="M19" s="1"/>
      <c r="O19" s="1"/>
    </row>
    <row r="20" spans="1:15" x14ac:dyDescent="0.3">
      <c r="A20" t="s">
        <v>9</v>
      </c>
      <c r="B20" t="s">
        <v>0</v>
      </c>
      <c r="C20" s="1" t="s">
        <v>131</v>
      </c>
      <c r="D20" s="1" t="s">
        <v>131</v>
      </c>
      <c r="E20" s="1">
        <v>113</v>
      </c>
      <c r="F20" s="1">
        <v>155</v>
      </c>
      <c r="G20" s="1">
        <v>204</v>
      </c>
      <c r="H20" s="1">
        <v>209</v>
      </c>
      <c r="I20" s="1">
        <v>182</v>
      </c>
      <c r="J20" s="1">
        <v>138</v>
      </c>
      <c r="K20" s="1">
        <v>143</v>
      </c>
      <c r="L20" s="1">
        <v>170</v>
      </c>
      <c r="M20" s="11"/>
    </row>
    <row r="21" spans="1:15" x14ac:dyDescent="0.3">
      <c r="A21" t="s">
        <v>9</v>
      </c>
      <c r="B21" t="s">
        <v>1</v>
      </c>
      <c r="C21" s="1" t="s">
        <v>131</v>
      </c>
      <c r="D21" s="1" t="s">
        <v>131</v>
      </c>
      <c r="E21" s="1">
        <v>197</v>
      </c>
      <c r="F21" s="1">
        <v>161</v>
      </c>
      <c r="G21" s="1">
        <v>182</v>
      </c>
      <c r="H21" s="1">
        <v>165</v>
      </c>
      <c r="I21" s="1">
        <v>127</v>
      </c>
      <c r="J21" s="1">
        <v>205</v>
      </c>
      <c r="K21" s="1">
        <v>132</v>
      </c>
      <c r="L21" s="1">
        <v>174</v>
      </c>
      <c r="M21" s="1"/>
    </row>
    <row r="22" spans="1:15" x14ac:dyDescent="0.3">
      <c r="A22" t="s">
        <v>9</v>
      </c>
      <c r="B22" t="s">
        <v>2</v>
      </c>
      <c r="C22" s="1" t="s">
        <v>131</v>
      </c>
      <c r="D22" s="1" t="s">
        <v>131</v>
      </c>
      <c r="E22" s="1">
        <v>107</v>
      </c>
      <c r="F22" s="1">
        <v>190</v>
      </c>
      <c r="G22" s="1">
        <v>166</v>
      </c>
      <c r="H22" s="1">
        <v>141</v>
      </c>
      <c r="I22" s="1">
        <v>143</v>
      </c>
      <c r="J22" s="1">
        <v>164</v>
      </c>
      <c r="K22" s="1">
        <v>148</v>
      </c>
      <c r="L22" s="1">
        <v>111</v>
      </c>
      <c r="M22" s="1"/>
    </row>
    <row r="23" spans="1:15" x14ac:dyDescent="0.3">
      <c r="B23"/>
      <c r="C23" s="1"/>
      <c r="J23"/>
    </row>
    <row r="24" spans="1:15" x14ac:dyDescent="0.3">
      <c r="A24" t="s">
        <v>10</v>
      </c>
      <c r="B24" s="3" t="s">
        <v>34</v>
      </c>
      <c r="C24" s="1">
        <v>650</v>
      </c>
      <c r="D24" s="1">
        <v>465</v>
      </c>
      <c r="E24" s="1">
        <v>850</v>
      </c>
      <c r="I24" s="1">
        <v>600</v>
      </c>
      <c r="J24">
        <v>853</v>
      </c>
      <c r="K24">
        <v>500</v>
      </c>
      <c r="L24" s="1">
        <v>722</v>
      </c>
      <c r="M24" s="1">
        <v>800</v>
      </c>
    </row>
    <row r="25" spans="1:15" x14ac:dyDescent="0.3">
      <c r="A25" s="2"/>
      <c r="B25" s="3" t="s">
        <v>35</v>
      </c>
      <c r="C25" s="1">
        <v>650</v>
      </c>
      <c r="D25" s="1">
        <v>430</v>
      </c>
      <c r="E25" s="1">
        <v>750</v>
      </c>
      <c r="I25" s="1">
        <v>410</v>
      </c>
      <c r="J25">
        <v>500</v>
      </c>
      <c r="K25">
        <v>470</v>
      </c>
      <c r="L25" s="1">
        <v>668</v>
      </c>
      <c r="M25" s="1">
        <v>550</v>
      </c>
    </row>
    <row r="26" spans="1:15" x14ac:dyDescent="0.3">
      <c r="A26" s="2"/>
      <c r="B26" s="3" t="s">
        <v>36</v>
      </c>
      <c r="C26" s="1">
        <v>650</v>
      </c>
      <c r="D26" s="1">
        <v>375</v>
      </c>
      <c r="E26" s="1">
        <v>100</v>
      </c>
      <c r="I26" s="1">
        <v>380</v>
      </c>
      <c r="J26">
        <v>640</v>
      </c>
      <c r="K26">
        <v>620</v>
      </c>
      <c r="L26" s="1">
        <v>617</v>
      </c>
      <c r="M26" s="1">
        <v>425</v>
      </c>
    </row>
    <row r="27" spans="1:15" x14ac:dyDescent="0.3">
      <c r="A27" t="s">
        <v>11</v>
      </c>
      <c r="B27" s="3" t="s">
        <v>34</v>
      </c>
      <c r="C27" s="1"/>
      <c r="I27" s="1">
        <v>97</v>
      </c>
      <c r="J27">
        <v>333</v>
      </c>
      <c r="K27">
        <v>129</v>
      </c>
      <c r="L27" s="1">
        <v>132</v>
      </c>
      <c r="M27" s="1"/>
    </row>
    <row r="28" spans="1:15" x14ac:dyDescent="0.3">
      <c r="A28" s="2"/>
      <c r="B28" s="3" t="s">
        <v>35</v>
      </c>
      <c r="C28" s="1"/>
      <c r="I28" s="1">
        <v>285</v>
      </c>
      <c r="J28">
        <v>360</v>
      </c>
      <c r="K28">
        <v>185</v>
      </c>
      <c r="L28" s="1">
        <v>287</v>
      </c>
      <c r="M28" s="1"/>
    </row>
    <row r="29" spans="1:15" x14ac:dyDescent="0.3">
      <c r="A29" s="2"/>
      <c r="B29" s="3" t="s">
        <v>36</v>
      </c>
      <c r="C29" s="1"/>
      <c r="I29" s="1">
        <v>88</v>
      </c>
      <c r="J29">
        <v>215</v>
      </c>
      <c r="K29">
        <v>189</v>
      </c>
      <c r="L29" s="1">
        <v>400</v>
      </c>
      <c r="M29" s="1"/>
    </row>
  </sheetData>
  <pageMargins left="0.7" right="0.7" top="0.75" bottom="0.75" header="0.3" footer="0.3"/>
  <pageSetup orientation="portrait" horizontalDpi="90" verticalDpi="9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39B95-63D6-401E-8565-E2A76CF64228}">
  <dimension ref="A1:AI21"/>
  <sheetViews>
    <sheetView workbookViewId="0">
      <selection activeCell="B11" sqref="B11"/>
    </sheetView>
  </sheetViews>
  <sheetFormatPr defaultColWidth="8.796875" defaultRowHeight="15.6" x14ac:dyDescent="0.3"/>
  <cols>
    <col min="1" max="1" width="4.8984375" bestFit="1" customWidth="1"/>
    <col min="2" max="2" width="13.796875" bestFit="1" customWidth="1"/>
    <col min="3" max="3" width="15.19921875" bestFit="1" customWidth="1"/>
    <col min="4" max="4" width="6.296875" bestFit="1" customWidth="1"/>
    <col min="5" max="5" width="13.19921875" bestFit="1" customWidth="1"/>
    <col min="6" max="6" width="15.19921875" bestFit="1" customWidth="1"/>
    <col min="7" max="7" width="16.69921875" bestFit="1" customWidth="1"/>
    <col min="8" max="8" width="6.296875" bestFit="1" customWidth="1"/>
    <col min="9" max="9" width="13.19921875" bestFit="1" customWidth="1"/>
    <col min="10" max="10" width="15.19921875" bestFit="1" customWidth="1"/>
    <col min="11" max="11" width="5.796875" bestFit="1" customWidth="1"/>
    <col min="12" max="12" width="20.69921875" bestFit="1" customWidth="1"/>
    <col min="13" max="13" width="6.296875" bestFit="1" customWidth="1"/>
    <col min="14" max="14" width="13.19921875" bestFit="1" customWidth="1"/>
    <col min="15" max="15" width="15.19921875" bestFit="1" customWidth="1"/>
    <col min="17" max="19" width="6.19921875" customWidth="1"/>
    <col min="20" max="20" width="4.19921875" customWidth="1"/>
    <col min="21" max="23" width="6.19921875" customWidth="1"/>
    <col min="24" max="24" width="4.19921875" customWidth="1"/>
    <col min="25" max="27" width="6.19921875" customWidth="1"/>
  </cols>
  <sheetData>
    <row r="1" spans="1:35" x14ac:dyDescent="0.3">
      <c r="A1" t="s">
        <v>12</v>
      </c>
      <c r="B1" t="s">
        <v>13</v>
      </c>
      <c r="C1" t="s">
        <v>18</v>
      </c>
      <c r="D1" t="s">
        <v>14</v>
      </c>
      <c r="E1" t="s">
        <v>15</v>
      </c>
      <c r="F1" t="s">
        <v>16</v>
      </c>
      <c r="G1" t="s">
        <v>17</v>
      </c>
      <c r="H1" t="s">
        <v>14</v>
      </c>
      <c r="I1" t="s">
        <v>15</v>
      </c>
      <c r="J1" t="s">
        <v>16</v>
      </c>
      <c r="K1" t="s">
        <v>19</v>
      </c>
      <c r="L1" t="s">
        <v>20</v>
      </c>
      <c r="M1" t="s">
        <v>14</v>
      </c>
      <c r="N1" t="s">
        <v>15</v>
      </c>
      <c r="O1" t="s">
        <v>16</v>
      </c>
    </row>
    <row r="2" spans="1:35" ht="22.2" customHeight="1" x14ac:dyDescent="0.3">
      <c r="A2">
        <v>2016</v>
      </c>
      <c r="B2">
        <f>SUMIFS(INDEX('Historical Data'!$C$2:$ZZ$100,0,MATCH(A2&amp;"",'Historical Data'!$C$1:$ZZ$1,0)),'Historical Data'!$B$2:$B$100,"1st Division")</f>
        <v>418</v>
      </c>
      <c r="D2" s="7"/>
      <c r="E2" s="7"/>
      <c r="F2" s="9"/>
      <c r="G2" s="9"/>
      <c r="H2" s="9"/>
      <c r="I2" s="9"/>
      <c r="J2" s="9"/>
      <c r="K2" s="10">
        <v>0.5</v>
      </c>
      <c r="L2" s="10"/>
      <c r="M2" s="10"/>
      <c r="N2" s="10"/>
      <c r="O2" s="10"/>
      <c r="Q2" s="48" t="s">
        <v>49</v>
      </c>
      <c r="R2" s="48"/>
      <c r="S2" s="48"/>
      <c r="U2" s="48" t="s">
        <v>50</v>
      </c>
      <c r="V2" s="48"/>
      <c r="W2" s="48"/>
      <c r="Y2" s="48" t="s">
        <v>51</v>
      </c>
      <c r="Z2" s="48"/>
      <c r="AA2" s="48"/>
      <c r="AC2" s="39" t="s">
        <v>106</v>
      </c>
      <c r="AD2" s="39"/>
      <c r="AE2" s="39"/>
      <c r="AF2" s="39"/>
      <c r="AG2" s="39"/>
      <c r="AH2" s="39"/>
      <c r="AI2" s="39"/>
    </row>
    <row r="3" spans="1:35" x14ac:dyDescent="0.3">
      <c r="A3">
        <v>2017</v>
      </c>
      <c r="B3">
        <f>SUMIFS(INDEX('Historical Data'!$C$2:$ZZ$100,0,MATCH(A3&amp;"",'Historical Data'!$C$1:$ZZ$1,0)),'Historical Data'!$B$2:$B$100,"1st Division")</f>
        <v>404</v>
      </c>
      <c r="D3" s="7"/>
      <c r="E3" s="7"/>
      <c r="F3" s="9"/>
      <c r="G3" s="9"/>
      <c r="H3" s="9"/>
      <c r="I3" s="9"/>
      <c r="J3" s="9"/>
      <c r="K3" s="10"/>
      <c r="L3" s="10">
        <f>B2</f>
        <v>418</v>
      </c>
      <c r="M3" s="10"/>
      <c r="N3" s="10"/>
      <c r="O3" s="10"/>
      <c r="Q3" s="48"/>
      <c r="R3" s="48"/>
      <c r="S3" s="48"/>
      <c r="U3" s="48"/>
      <c r="V3" s="48"/>
      <c r="W3" s="48"/>
      <c r="Y3" s="48"/>
      <c r="Z3" s="48"/>
      <c r="AA3" s="48"/>
      <c r="AC3" s="39"/>
      <c r="AD3" s="39"/>
      <c r="AE3" s="39"/>
      <c r="AF3" s="39"/>
      <c r="AG3" s="39"/>
      <c r="AH3" s="39"/>
      <c r="AI3" s="39"/>
    </row>
    <row r="4" spans="1:35" ht="25.2" customHeight="1" x14ac:dyDescent="0.3">
      <c r="A4">
        <v>2018</v>
      </c>
      <c r="B4">
        <f>SUMIFS(INDEX('Historical Data'!$C$2:$ZZ$100,0,MATCH(A4&amp;"",'Historical Data'!$C$1:$ZZ$1,0)),'Historical Data'!$B$2:$B$100,"1st Division")</f>
        <v>626</v>
      </c>
      <c r="C4" s="7"/>
      <c r="D4" s="7"/>
      <c r="E4" s="7"/>
      <c r="F4" s="9"/>
      <c r="G4" s="9"/>
      <c r="H4" s="9"/>
      <c r="I4" s="9"/>
      <c r="J4" s="9"/>
      <c r="K4" s="10"/>
      <c r="L4" s="10">
        <f>$K$2*B3+(1-$K$2)*L3</f>
        <v>411</v>
      </c>
      <c r="M4" s="10"/>
      <c r="N4" s="10"/>
      <c r="O4" s="10"/>
      <c r="Q4" s="51">
        <f>'Model Comparison'!J2</f>
        <v>708.69921875</v>
      </c>
      <c r="R4" s="51"/>
      <c r="S4" s="51"/>
      <c r="U4" s="53" t="str">
        <f>_xlfn.XLOOKUP("Best",'Model Comparison'!G2:G4, 'Model Comparison'!B2:B4)</f>
        <v>Exponential Smoothing</v>
      </c>
      <c r="V4" s="53"/>
      <c r="W4" s="53"/>
      <c r="Y4" s="49">
        <f>MIN('Model Comparison'!C2:C4)</f>
        <v>92.739955357142861</v>
      </c>
      <c r="Z4" s="49"/>
      <c r="AA4" s="49"/>
      <c r="AC4" s="39"/>
      <c r="AD4" s="39"/>
      <c r="AE4" s="39"/>
      <c r="AF4" s="39"/>
      <c r="AG4" s="39"/>
      <c r="AH4" s="39"/>
      <c r="AI4" s="39"/>
    </row>
    <row r="5" spans="1:35" ht="15.45" customHeight="1" x14ac:dyDescent="0.3">
      <c r="A5">
        <v>2019</v>
      </c>
      <c r="B5">
        <f>SUMIFS(INDEX('Historical Data'!$C$2:$ZZ$100,0,MATCH(A5&amp;"",'Historical Data'!$C$1:$ZZ$1,0)),'Historical Data'!$B$2:$B$100,"1st Division")</f>
        <v>719</v>
      </c>
      <c r="C5" s="7">
        <f>AVERAGE(B2:B4)</f>
        <v>482.66666666666669</v>
      </c>
      <c r="D5" s="7">
        <f t="shared" ref="D5:D11" si="0">B5-C5</f>
        <v>236.33333333333331</v>
      </c>
      <c r="E5" s="7">
        <f t="shared" ref="E5:E11" si="1">ABS(D5)</f>
        <v>236.33333333333331</v>
      </c>
      <c r="F5" s="9">
        <f t="shared" ref="F5:F11" si="2">IFERROR(E5/B5,"")</f>
        <v>0.32869726471951782</v>
      </c>
      <c r="G5" s="10">
        <f>(B4*0.5)+(B3*0.3)+(B2*0.2)</f>
        <v>517.79999999999995</v>
      </c>
      <c r="H5" s="10">
        <f>B5-G5</f>
        <v>201.20000000000005</v>
      </c>
      <c r="I5" s="10">
        <f>ABS(H5)</f>
        <v>201.20000000000005</v>
      </c>
      <c r="J5" s="8">
        <f>IFERROR(I5/B5,"")</f>
        <v>0.27983310152990271</v>
      </c>
      <c r="K5" s="10"/>
      <c r="L5" s="10">
        <f t="shared" ref="L5:L11" si="3">$K$2*B4+(1-$K$2)*L4</f>
        <v>518.5</v>
      </c>
      <c r="M5" s="10">
        <f>B5-L5</f>
        <v>200.5</v>
      </c>
      <c r="N5" s="10">
        <f>ABS(M5)</f>
        <v>200.5</v>
      </c>
      <c r="O5" s="9">
        <f>IFERROR(N5/B5,"")</f>
        <v>0.27885952712100137</v>
      </c>
      <c r="P5" s="7">
        <f>MAX(0,B5-L5)</f>
        <v>200.5</v>
      </c>
      <c r="Q5" s="51"/>
      <c r="R5" s="51"/>
      <c r="S5" s="51"/>
      <c r="U5" s="53"/>
      <c r="V5" s="53"/>
      <c r="W5" s="53"/>
      <c r="Y5" s="49"/>
      <c r="Z5" s="49"/>
      <c r="AA5" s="49"/>
    </row>
    <row r="6" spans="1:35" ht="15.45" customHeight="1" x14ac:dyDescent="0.3">
      <c r="A6">
        <v>2020</v>
      </c>
      <c r="B6">
        <f>SUMIFS(INDEX('Historical Data'!$C$2:$ZZ$100,0,MATCH(A6&amp;"",'Historical Data'!$C$1:$ZZ$1,0)),'Historical Data'!$B$2:$B$100,"1st Division")</f>
        <v>806</v>
      </c>
      <c r="C6" s="7">
        <f t="shared" ref="C6:C11" si="4">AVERAGE(B3:B5)</f>
        <v>583</v>
      </c>
      <c r="D6" s="7">
        <f t="shared" si="0"/>
        <v>223</v>
      </c>
      <c r="E6" s="7">
        <f t="shared" si="1"/>
        <v>223</v>
      </c>
      <c r="F6" s="9">
        <f t="shared" si="2"/>
        <v>0.27667493796526055</v>
      </c>
      <c r="G6" s="10">
        <f t="shared" ref="G6:G11" si="5">(B5*0.5)+(B4*0.3)+(B3*0.2)</f>
        <v>628.09999999999991</v>
      </c>
      <c r="H6" s="10">
        <f t="shared" ref="H6:H11" si="6">B6-G6</f>
        <v>177.90000000000009</v>
      </c>
      <c r="I6" s="10">
        <f t="shared" ref="I6:I11" si="7">ABS(H6)</f>
        <v>177.90000000000009</v>
      </c>
      <c r="J6" s="8">
        <f t="shared" ref="J6:J11" si="8">IFERROR(I6/B6,"")</f>
        <v>0.2207196029776676</v>
      </c>
      <c r="K6" s="10"/>
      <c r="L6" s="10">
        <f t="shared" si="3"/>
        <v>618.75</v>
      </c>
      <c r="M6" s="10">
        <f t="shared" ref="M6:M11" si="9">B6-L6</f>
        <v>187.25</v>
      </c>
      <c r="N6" s="10">
        <f t="shared" ref="N6:N11" si="10">ABS(M6)</f>
        <v>187.25</v>
      </c>
      <c r="O6" s="9">
        <f t="shared" ref="O6:O11" si="11">IFERROR(N6/B6,"")</f>
        <v>0.23232009925558314</v>
      </c>
      <c r="P6" s="7">
        <f t="shared" ref="P6:P11" si="12">MAX(0,B6-L6)</f>
        <v>187.25</v>
      </c>
      <c r="Q6" s="52"/>
      <c r="R6" s="52"/>
      <c r="S6" s="52"/>
      <c r="U6" s="54"/>
      <c r="V6" s="54"/>
      <c r="W6" s="54"/>
      <c r="Y6" s="50"/>
      <c r="Z6" s="50"/>
      <c r="AA6" s="50"/>
    </row>
    <row r="7" spans="1:35" x14ac:dyDescent="0.3">
      <c r="A7">
        <v>2021</v>
      </c>
      <c r="B7">
        <f>SUMIFS(INDEX('Historical Data'!$C$2:$ZZ$100,0,MATCH(A7&amp;"",'Historical Data'!$C$1:$ZZ$1,0)),'Historical Data'!$B$2:$B$100,"1st Division")</f>
        <v>714</v>
      </c>
      <c r="C7" s="7">
        <f t="shared" si="4"/>
        <v>717</v>
      </c>
      <c r="D7" s="7">
        <f t="shared" si="0"/>
        <v>-3</v>
      </c>
      <c r="E7" s="7">
        <f t="shared" si="1"/>
        <v>3</v>
      </c>
      <c r="F7" s="9">
        <f t="shared" si="2"/>
        <v>4.2016806722689074E-3</v>
      </c>
      <c r="G7" s="10">
        <f t="shared" si="5"/>
        <v>743.90000000000009</v>
      </c>
      <c r="H7" s="10">
        <f t="shared" si="6"/>
        <v>-29.900000000000091</v>
      </c>
      <c r="I7" s="10">
        <f t="shared" si="7"/>
        <v>29.900000000000091</v>
      </c>
      <c r="J7" s="8">
        <f t="shared" si="8"/>
        <v>4.1876750700280241E-2</v>
      </c>
      <c r="K7" s="8"/>
      <c r="L7" s="10">
        <f t="shared" si="3"/>
        <v>712.375</v>
      </c>
      <c r="M7" s="10">
        <f t="shared" si="9"/>
        <v>1.625</v>
      </c>
      <c r="N7" s="10">
        <f t="shared" si="10"/>
        <v>1.625</v>
      </c>
      <c r="O7" s="9">
        <f t="shared" si="11"/>
        <v>2.2759103641456584E-3</v>
      </c>
      <c r="P7" s="7">
        <f t="shared" si="12"/>
        <v>1.625</v>
      </c>
    </row>
    <row r="8" spans="1:35" x14ac:dyDescent="0.3">
      <c r="A8">
        <v>2022</v>
      </c>
      <c r="B8">
        <f>SUMIFS(INDEX('Historical Data'!$C$2:$ZZ$100,0,MATCH(A8&amp;"",'Historical Data'!$C$1:$ZZ$1,0)),'Historical Data'!$B$2:$B$100,"1st Division")</f>
        <v>770</v>
      </c>
      <c r="C8" s="7">
        <f t="shared" si="4"/>
        <v>746.33333333333337</v>
      </c>
      <c r="D8" s="7">
        <f t="shared" si="0"/>
        <v>23.666666666666629</v>
      </c>
      <c r="E8" s="7">
        <f t="shared" si="1"/>
        <v>23.666666666666629</v>
      </c>
      <c r="F8" s="9">
        <f t="shared" si="2"/>
        <v>3.0735930735930686E-2</v>
      </c>
      <c r="G8" s="10">
        <f t="shared" si="5"/>
        <v>742.59999999999991</v>
      </c>
      <c r="H8" s="10">
        <f t="shared" si="6"/>
        <v>27.400000000000091</v>
      </c>
      <c r="I8" s="10">
        <f t="shared" si="7"/>
        <v>27.400000000000091</v>
      </c>
      <c r="J8" s="8">
        <f t="shared" si="8"/>
        <v>3.5584415584415705E-2</v>
      </c>
      <c r="K8" s="8"/>
      <c r="L8" s="10">
        <f t="shared" si="3"/>
        <v>713.1875</v>
      </c>
      <c r="M8" s="10">
        <f t="shared" si="9"/>
        <v>56.8125</v>
      </c>
      <c r="N8" s="10">
        <f t="shared" si="10"/>
        <v>56.8125</v>
      </c>
      <c r="O8" s="9">
        <f t="shared" si="11"/>
        <v>7.3782467532467533E-2</v>
      </c>
      <c r="P8" s="7">
        <f t="shared" si="12"/>
        <v>56.8125</v>
      </c>
    </row>
    <row r="9" spans="1:35" x14ac:dyDescent="0.3">
      <c r="A9">
        <v>2023</v>
      </c>
      <c r="B9">
        <f>SUMIFS(INDEX('Historical Data'!$C$2:$ZZ$100,0,MATCH(A9&amp;"",'Historical Data'!$C$1:$ZZ$1,0)),'Historical Data'!$B$2:$B$100,"1st Division")</f>
        <v>624</v>
      </c>
      <c r="C9" s="7">
        <f t="shared" si="4"/>
        <v>763.33333333333337</v>
      </c>
      <c r="D9" s="7">
        <f t="shared" si="0"/>
        <v>-139.33333333333337</v>
      </c>
      <c r="E9" s="7">
        <f t="shared" si="1"/>
        <v>139.33333333333337</v>
      </c>
      <c r="F9" s="9">
        <f t="shared" si="2"/>
        <v>0.22329059829059836</v>
      </c>
      <c r="G9" s="10">
        <f t="shared" si="5"/>
        <v>760.40000000000009</v>
      </c>
      <c r="H9" s="10">
        <f t="shared" si="6"/>
        <v>-136.40000000000009</v>
      </c>
      <c r="I9" s="10">
        <f t="shared" si="7"/>
        <v>136.40000000000009</v>
      </c>
      <c r="J9" s="8">
        <f t="shared" si="8"/>
        <v>0.21858974358974373</v>
      </c>
      <c r="K9" s="8"/>
      <c r="L9" s="10">
        <f t="shared" si="3"/>
        <v>741.59375</v>
      </c>
      <c r="M9" s="10">
        <f t="shared" si="9"/>
        <v>-117.59375</v>
      </c>
      <c r="N9" s="10">
        <f t="shared" si="10"/>
        <v>117.59375</v>
      </c>
      <c r="O9" s="9">
        <f t="shared" si="11"/>
        <v>0.18845152243589744</v>
      </c>
      <c r="P9" s="7">
        <f t="shared" si="12"/>
        <v>0</v>
      </c>
    </row>
    <row r="10" spans="1:35" x14ac:dyDescent="0.3">
      <c r="A10">
        <v>2024</v>
      </c>
      <c r="B10">
        <f>SUMIFS(INDEX('Historical Data'!$C$2:$ZZ$100,0,MATCH(A10&amp;"",'Historical Data'!$C$1:$ZZ$1,0)),'Historical Data'!$B$2:$B$100,"1st Division")</f>
        <v>666</v>
      </c>
      <c r="C10" s="7">
        <f t="shared" si="4"/>
        <v>702.66666666666663</v>
      </c>
      <c r="D10" s="7">
        <f t="shared" si="0"/>
        <v>-36.666666666666629</v>
      </c>
      <c r="E10" s="7">
        <f t="shared" si="1"/>
        <v>36.666666666666629</v>
      </c>
      <c r="F10" s="9">
        <f t="shared" si="2"/>
        <v>5.5055055055055001E-2</v>
      </c>
      <c r="G10" s="10">
        <f t="shared" si="5"/>
        <v>685.8</v>
      </c>
      <c r="H10" s="10">
        <f t="shared" si="6"/>
        <v>-19.799999999999955</v>
      </c>
      <c r="I10" s="10">
        <f t="shared" si="7"/>
        <v>19.799999999999955</v>
      </c>
      <c r="J10" s="8">
        <f t="shared" si="8"/>
        <v>2.9729729729729662E-2</v>
      </c>
      <c r="K10" s="8"/>
      <c r="L10" s="10">
        <f t="shared" si="3"/>
        <v>682.796875</v>
      </c>
      <c r="M10" s="10">
        <f t="shared" si="9"/>
        <v>-16.796875</v>
      </c>
      <c r="N10" s="10">
        <f t="shared" si="10"/>
        <v>16.796875</v>
      </c>
      <c r="O10" s="9">
        <f t="shared" si="11"/>
        <v>2.5220533033033034E-2</v>
      </c>
      <c r="P10" s="7">
        <f t="shared" si="12"/>
        <v>0</v>
      </c>
    </row>
    <row r="11" spans="1:35" x14ac:dyDescent="0.3">
      <c r="A11">
        <v>2025</v>
      </c>
      <c r="B11">
        <f>SUMIFS(INDEX('Historical Data'!$C$2:$ZZ$100,0,MATCH(A11&amp;"",'Historical Data'!$C$1:$ZZ$1,0)),'Historical Data'!$B$2:$B$100,"1st Division")</f>
        <v>743</v>
      </c>
      <c r="C11" s="7">
        <f t="shared" si="4"/>
        <v>686.66666666666663</v>
      </c>
      <c r="D11" s="7">
        <f t="shared" si="0"/>
        <v>56.333333333333371</v>
      </c>
      <c r="E11" s="7">
        <f t="shared" si="1"/>
        <v>56.333333333333371</v>
      </c>
      <c r="F11" s="9">
        <f t="shared" si="2"/>
        <v>7.5818752803948009E-2</v>
      </c>
      <c r="G11" s="10">
        <f t="shared" si="5"/>
        <v>674.2</v>
      </c>
      <c r="H11" s="10">
        <f t="shared" si="6"/>
        <v>68.799999999999955</v>
      </c>
      <c r="I11" s="10">
        <f t="shared" si="7"/>
        <v>68.799999999999955</v>
      </c>
      <c r="J11" s="8">
        <f t="shared" si="8"/>
        <v>9.2597577388963598E-2</v>
      </c>
      <c r="K11" s="8"/>
      <c r="L11" s="10">
        <f t="shared" si="3"/>
        <v>674.3984375</v>
      </c>
      <c r="M11" s="10">
        <f t="shared" si="9"/>
        <v>68.6015625</v>
      </c>
      <c r="N11" s="10">
        <f t="shared" si="10"/>
        <v>68.6015625</v>
      </c>
      <c r="O11" s="9">
        <f t="shared" si="11"/>
        <v>9.2330501345895016E-2</v>
      </c>
      <c r="P11" s="7">
        <f t="shared" si="12"/>
        <v>68.6015625</v>
      </c>
    </row>
    <row r="12" spans="1:35" x14ac:dyDescent="0.3">
      <c r="C12" s="7"/>
      <c r="D12" s="7">
        <f t="shared" ref="D12:J12" si="13">AVERAGE(D5:D11)</f>
        <v>51.476190476190474</v>
      </c>
      <c r="E12" s="7">
        <f t="shared" si="13"/>
        <v>102.61904761904761</v>
      </c>
      <c r="F12" s="9">
        <f t="shared" si="13"/>
        <v>0.14206774574893991</v>
      </c>
      <c r="H12" s="10">
        <f t="shared" si="13"/>
        <v>41.314285714285724</v>
      </c>
      <c r="I12" s="10">
        <f t="shared" si="13"/>
        <v>94.485714285714337</v>
      </c>
      <c r="J12" s="9">
        <f t="shared" si="13"/>
        <v>0.13127584592867189</v>
      </c>
      <c r="K12" s="9"/>
      <c r="M12" s="10">
        <f>AVERAGE(M5:M11)</f>
        <v>54.342633928571431</v>
      </c>
      <c r="N12" s="10">
        <f>AVERAGE(N5:N11)</f>
        <v>92.739955357142861</v>
      </c>
      <c r="O12" s="9">
        <f>AVERAGE(O5:O11)</f>
        <v>0.1276057944411462</v>
      </c>
    </row>
    <row r="14" spans="1:35" x14ac:dyDescent="0.3">
      <c r="A14" s="6">
        <v>2026</v>
      </c>
      <c r="B14" t="str">
        <f>IF(COUNT('Historical Data'!M2,'Historical Data'!M5,'Historical Data'!M8,'Historical Data'!M11,'Historical Data'!M14,'Historical Data'!M17,'Historical Data'!M20)=7,SUM('Historical Data'!M2,'Historical Data'!M5,'Historical Data'!M8,'Historical Data'!M11,'Historical Data'!M14,'Historical Data'!M17,'Historical Data'!M20),"")</f>
        <v/>
      </c>
      <c r="C14" s="7">
        <f>AVERAGE(B9:B11)</f>
        <v>677.66666666666663</v>
      </c>
      <c r="G14" s="10">
        <f>(B11*0.5)+(B10*0.3)+(B9*0.2)</f>
        <v>696.09999999999991</v>
      </c>
      <c r="L14" s="10">
        <f>$K$2*B11+(1-$K$2)*L11</f>
        <v>708.69921875</v>
      </c>
      <c r="P14" s="7"/>
    </row>
    <row r="15" spans="1:35" x14ac:dyDescent="0.3">
      <c r="A15">
        <v>2027</v>
      </c>
      <c r="L15" s="7">
        <f>IF(ISNUMBER(B14),$K$2*B14+(1-$K$2)*L14,L14)</f>
        <v>708.69921875</v>
      </c>
      <c r="P15" s="7"/>
    </row>
    <row r="16" spans="1:35" x14ac:dyDescent="0.3">
      <c r="B16" s="7"/>
    </row>
    <row r="19" spans="12:13" x14ac:dyDescent="0.3">
      <c r="L19" t="s">
        <v>66</v>
      </c>
      <c r="M19" s="7">
        <f>MAX(P5:P11)</f>
        <v>200.5</v>
      </c>
    </row>
    <row r="20" spans="12:13" x14ac:dyDescent="0.3">
      <c r="L20" t="s">
        <v>67</v>
      </c>
      <c r="M20" s="7">
        <f>AVERAGE(P5:P11)</f>
        <v>73.541294642857139</v>
      </c>
    </row>
    <row r="21" spans="12:13" x14ac:dyDescent="0.3">
      <c r="L21" t="s">
        <v>68</v>
      </c>
      <c r="M21" s="18">
        <f>COUNTIF(P5:P11, "&lt;=105")/COUNT(P5:P11)</f>
        <v>0.7142857142857143</v>
      </c>
    </row>
  </sheetData>
  <mergeCells count="7">
    <mergeCell ref="AC2:AI4"/>
    <mergeCell ref="Y2:AA3"/>
    <mergeCell ref="Y4:AA6"/>
    <mergeCell ref="Q2:S3"/>
    <mergeCell ref="Q4:S6"/>
    <mergeCell ref="U2:W3"/>
    <mergeCell ref="U4:W6"/>
  </mergeCells>
  <pageMargins left="0.7" right="0.7" top="0.75" bottom="0.75" header="0.3" footer="0.3"/>
  <pageSetup orientation="portrait" horizontalDpi="90" verticalDpi="9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7849E-4374-4E96-88C4-6B854C4ED7AE}">
  <dimension ref="A1:AA20"/>
  <sheetViews>
    <sheetView topLeftCell="A7" workbookViewId="0">
      <selection activeCell="B15" sqref="B15"/>
    </sheetView>
  </sheetViews>
  <sheetFormatPr defaultColWidth="8.796875" defaultRowHeight="15.6" x14ac:dyDescent="0.3"/>
  <cols>
    <col min="1" max="1" width="4.796875" bestFit="1" customWidth="1"/>
    <col min="2" max="2" width="13.796875" bestFit="1" customWidth="1"/>
    <col min="3" max="3" width="15.19921875" bestFit="1" customWidth="1"/>
    <col min="4" max="4" width="6.296875" bestFit="1" customWidth="1"/>
    <col min="5" max="5" width="13.19921875" bestFit="1" customWidth="1"/>
    <col min="6" max="6" width="15.19921875" bestFit="1" customWidth="1"/>
    <col min="7" max="7" width="16.69921875" bestFit="1" customWidth="1"/>
    <col min="8" max="8" width="6.296875" bestFit="1" customWidth="1"/>
    <col min="9" max="9" width="13.19921875" bestFit="1" customWidth="1"/>
    <col min="10" max="10" width="15.19921875" bestFit="1" customWidth="1"/>
    <col min="11" max="11" width="5.796875" bestFit="1" customWidth="1"/>
    <col min="12" max="12" width="20.69921875" bestFit="1" customWidth="1"/>
    <col min="13" max="15" width="20.69921875" customWidth="1"/>
    <col min="17" max="19" width="6.19921875" customWidth="1"/>
    <col min="21" max="23" width="6.19921875" customWidth="1"/>
    <col min="25" max="27" width="6.19921875" customWidth="1"/>
  </cols>
  <sheetData>
    <row r="1" spans="1:27" x14ac:dyDescent="0.3">
      <c r="A1" t="s">
        <v>12</v>
      </c>
      <c r="B1" t="s">
        <v>13</v>
      </c>
      <c r="C1" t="s">
        <v>18</v>
      </c>
      <c r="D1" t="s">
        <v>14</v>
      </c>
      <c r="E1" t="s">
        <v>15</v>
      </c>
      <c r="F1" t="s">
        <v>16</v>
      </c>
      <c r="G1" t="s">
        <v>17</v>
      </c>
      <c r="H1" t="s">
        <v>14</v>
      </c>
      <c r="I1" t="s">
        <v>15</v>
      </c>
      <c r="J1" t="s">
        <v>16</v>
      </c>
      <c r="K1" t="s">
        <v>19</v>
      </c>
      <c r="L1" t="s">
        <v>20</v>
      </c>
      <c r="M1" t="s">
        <v>14</v>
      </c>
      <c r="N1" t="s">
        <v>15</v>
      </c>
      <c r="O1" t="s">
        <v>16</v>
      </c>
    </row>
    <row r="2" spans="1:27" x14ac:dyDescent="0.3">
      <c r="A2">
        <v>2016</v>
      </c>
      <c r="B2">
        <f>SUMIFS(INDEX('Historical Data'!$C$2:$ZZ$100,0,MATCH(A2&amp;"",'Historical Data'!$C$1:$ZZ$1,0)),'Historical Data'!$B$2:$B$100,"2nd Division")</f>
        <v>467</v>
      </c>
      <c r="D2" s="7"/>
      <c r="E2" s="7"/>
      <c r="F2" s="9"/>
      <c r="G2" s="9"/>
      <c r="H2" s="9"/>
      <c r="I2" s="9"/>
      <c r="J2" s="9"/>
      <c r="K2" s="10">
        <v>0.5</v>
      </c>
      <c r="L2" s="10"/>
      <c r="M2" s="10"/>
      <c r="N2" s="10"/>
      <c r="O2" s="10"/>
      <c r="Q2" s="48" t="s">
        <v>49</v>
      </c>
      <c r="R2" s="48"/>
      <c r="S2" s="48"/>
      <c r="U2" s="48" t="s">
        <v>50</v>
      </c>
      <c r="V2" s="48"/>
      <c r="W2" s="48"/>
      <c r="Y2" s="48" t="s">
        <v>51</v>
      </c>
      <c r="Z2" s="48"/>
      <c r="AA2" s="48"/>
    </row>
    <row r="3" spans="1:27" x14ac:dyDescent="0.3">
      <c r="A3">
        <v>2017</v>
      </c>
      <c r="B3">
        <f>SUMIFS(INDEX('Historical Data'!$C$2:$ZZ$100,0,MATCH(A3&amp;"",'Historical Data'!$C$1:$ZZ$1,0)),'Historical Data'!$B$2:$B$100,"2nd Division")</f>
        <v>349</v>
      </c>
      <c r="D3" s="7"/>
      <c r="E3" s="7"/>
      <c r="F3" s="9"/>
      <c r="G3" s="9"/>
      <c r="H3" s="9"/>
      <c r="I3" s="9"/>
      <c r="J3" s="9"/>
      <c r="K3" s="10"/>
      <c r="L3" s="10">
        <f>B2</f>
        <v>467</v>
      </c>
      <c r="M3" s="10"/>
      <c r="N3" s="10"/>
      <c r="O3" s="10"/>
      <c r="Q3" s="48"/>
      <c r="R3" s="48"/>
      <c r="S3" s="48"/>
      <c r="U3" s="48"/>
      <c r="V3" s="48"/>
      <c r="W3" s="48"/>
      <c r="Y3" s="48"/>
      <c r="Z3" s="48"/>
      <c r="AA3" s="48"/>
    </row>
    <row r="4" spans="1:27" x14ac:dyDescent="0.3">
      <c r="A4">
        <v>2018</v>
      </c>
      <c r="B4">
        <f>SUMIFS(INDEX('Historical Data'!$C$2:$ZZ$100,0,MATCH(A4&amp;"",'Historical Data'!$C$1:$ZZ$1,0)),'Historical Data'!$B$2:$B$100,"2nd Division")</f>
        <v>699</v>
      </c>
      <c r="C4" s="7"/>
      <c r="D4" s="7"/>
      <c r="E4" s="7"/>
      <c r="F4" s="9"/>
      <c r="G4" s="9"/>
      <c r="H4" s="9"/>
      <c r="I4" s="9"/>
      <c r="J4" s="9"/>
      <c r="K4" s="10"/>
      <c r="L4" s="10">
        <f>$K$2*B3+(1-$K$2)*L3</f>
        <v>408</v>
      </c>
      <c r="M4" s="10"/>
      <c r="N4" s="10"/>
      <c r="O4" s="10"/>
      <c r="Q4" s="51">
        <f>'Model Comparison'!J3</f>
        <v>717.51953125</v>
      </c>
      <c r="R4" s="51"/>
      <c r="S4" s="51"/>
      <c r="U4" s="53" t="str">
        <f>_xlfn.XLOOKUP("Best",'Model Comparison'!G5:G7, 'Model Comparison'!B5:B7)</f>
        <v>Exponential Smoothing</v>
      </c>
      <c r="V4" s="53"/>
      <c r="W4" s="53"/>
      <c r="Y4" s="49">
        <f>MIN('Model Comparison'!C5:C7)</f>
        <v>81.371651785714292</v>
      </c>
      <c r="Z4" s="49"/>
      <c r="AA4" s="49"/>
    </row>
    <row r="5" spans="1:27" x14ac:dyDescent="0.3">
      <c r="A5">
        <v>2019</v>
      </c>
      <c r="B5">
        <f>SUMIFS(INDEX('Historical Data'!$C$2:$ZZ$100,0,MATCH(A5&amp;"",'Historical Data'!$C$1:$ZZ$1,0)),'Historical Data'!$B$2:$B$100,"2nd Division")</f>
        <v>623</v>
      </c>
      <c r="C5" s="7">
        <f>AVERAGE(B2:B4)</f>
        <v>505</v>
      </c>
      <c r="D5" s="7">
        <f t="shared" ref="D5:D11" si="0">B5-C5</f>
        <v>118</v>
      </c>
      <c r="E5" s="7">
        <f t="shared" ref="E5:E11" si="1">ABS(D5)</f>
        <v>118</v>
      </c>
      <c r="F5" s="9">
        <f t="shared" ref="F5:F11" si="2">IFERROR(E5/B5,"")</f>
        <v>0.18940609951845908</v>
      </c>
      <c r="G5" s="10">
        <f>(B4*0.5)+(B3*0.3)+(B2*0.2)</f>
        <v>547.6</v>
      </c>
      <c r="H5" s="10">
        <f>B5-G5</f>
        <v>75.399999999999977</v>
      </c>
      <c r="I5" s="10">
        <f>ABS(H5)</f>
        <v>75.399999999999977</v>
      </c>
      <c r="J5" s="8">
        <f>IFERROR(I5/B5,"")</f>
        <v>0.12102728731942211</v>
      </c>
      <c r="K5" s="10"/>
      <c r="L5" s="10">
        <f t="shared" ref="L5:L11" si="3">$K$2*B4+(1-$K$2)*L4</f>
        <v>553.5</v>
      </c>
      <c r="M5" s="10">
        <f>B5-L5</f>
        <v>69.5</v>
      </c>
      <c r="N5" s="10">
        <f>ABS(M5)</f>
        <v>69.5</v>
      </c>
      <c r="O5" s="9">
        <f>IFERROR(N5/B5,"")</f>
        <v>0.1115569823434992</v>
      </c>
      <c r="P5" s="7">
        <f>MAX(0,B5-L5)</f>
        <v>69.5</v>
      </c>
      <c r="Q5" s="51"/>
      <c r="R5" s="51"/>
      <c r="S5" s="51"/>
      <c r="U5" s="53"/>
      <c r="V5" s="53"/>
      <c r="W5" s="53"/>
      <c r="Y5" s="49"/>
      <c r="Z5" s="49"/>
      <c r="AA5" s="49"/>
    </row>
    <row r="6" spans="1:27" x14ac:dyDescent="0.3">
      <c r="A6">
        <v>2020</v>
      </c>
      <c r="B6">
        <f>SUMIFS(INDEX('Historical Data'!$C$2:$ZZ$100,0,MATCH(A6&amp;"",'Historical Data'!$C$1:$ZZ$1,0)),'Historical Data'!$B$2:$B$100,"2nd Division")</f>
        <v>807</v>
      </c>
      <c r="C6" s="7">
        <f t="shared" ref="C6:C11" si="4">AVERAGE(B3:B5)</f>
        <v>557</v>
      </c>
      <c r="D6" s="7">
        <f t="shared" si="0"/>
        <v>250</v>
      </c>
      <c r="E6" s="7">
        <f t="shared" si="1"/>
        <v>250</v>
      </c>
      <c r="F6" s="9">
        <f t="shared" si="2"/>
        <v>0.3097893432465923</v>
      </c>
      <c r="G6" s="10">
        <f t="shared" ref="G6:G10" si="5">(B5*0.5)+(B4*0.3)+(B3*0.2)</f>
        <v>591</v>
      </c>
      <c r="H6" s="10">
        <f t="shared" ref="H6:H11" si="6">B6-G6</f>
        <v>216</v>
      </c>
      <c r="I6" s="10">
        <f t="shared" ref="I6:I11" si="7">ABS(H6)</f>
        <v>216</v>
      </c>
      <c r="J6" s="8">
        <f t="shared" ref="J6:J11" si="8">IFERROR(I6/B6,"")</f>
        <v>0.26765799256505574</v>
      </c>
      <c r="K6" s="10"/>
      <c r="L6" s="10">
        <f t="shared" si="3"/>
        <v>588.25</v>
      </c>
      <c r="M6" s="10">
        <f t="shared" ref="M6:M11" si="9">B6-L6</f>
        <v>218.75</v>
      </c>
      <c r="N6" s="10">
        <f t="shared" ref="N6:N11" si="10">ABS(M6)</f>
        <v>218.75</v>
      </c>
      <c r="O6" s="9">
        <f t="shared" ref="O6:O11" si="11">IFERROR(N6/B6,"")</f>
        <v>0.27106567534076825</v>
      </c>
      <c r="P6" s="7">
        <f t="shared" ref="P6:P11" si="12">MAX(0,B6-L6)</f>
        <v>218.75</v>
      </c>
      <c r="Q6" s="52"/>
      <c r="R6" s="52"/>
      <c r="S6" s="52"/>
      <c r="U6" s="54"/>
      <c r="V6" s="54"/>
      <c r="W6" s="54"/>
      <c r="Y6" s="50"/>
      <c r="Z6" s="50"/>
      <c r="AA6" s="50"/>
    </row>
    <row r="7" spans="1:27" x14ac:dyDescent="0.3">
      <c r="A7">
        <v>2021</v>
      </c>
      <c r="B7">
        <f>SUMIFS(INDEX('Historical Data'!$C$2:$ZZ$100,0,MATCH(A7&amp;"",'Historical Data'!$C$1:$ZZ$1,0)),'Historical Data'!$B$2:$B$100,"2nd Division")</f>
        <v>609</v>
      </c>
      <c r="C7" s="7">
        <f t="shared" si="4"/>
        <v>709.66666666666663</v>
      </c>
      <c r="D7" s="7">
        <f t="shared" si="0"/>
        <v>-100.66666666666663</v>
      </c>
      <c r="E7" s="7">
        <f t="shared" si="1"/>
        <v>100.66666666666663</v>
      </c>
      <c r="F7" s="9">
        <f t="shared" si="2"/>
        <v>0.16529830322933764</v>
      </c>
      <c r="G7" s="10">
        <f t="shared" si="5"/>
        <v>730.2</v>
      </c>
      <c r="H7" s="10">
        <f t="shared" si="6"/>
        <v>-121.20000000000005</v>
      </c>
      <c r="I7" s="10">
        <f t="shared" si="7"/>
        <v>121.20000000000005</v>
      </c>
      <c r="J7" s="8">
        <f t="shared" si="8"/>
        <v>0.19901477832512324</v>
      </c>
      <c r="K7" s="8"/>
      <c r="L7" s="10">
        <f t="shared" si="3"/>
        <v>697.625</v>
      </c>
      <c r="M7" s="10">
        <f t="shared" si="9"/>
        <v>-88.625</v>
      </c>
      <c r="N7" s="10">
        <f t="shared" si="10"/>
        <v>88.625</v>
      </c>
      <c r="O7" s="9">
        <f t="shared" si="11"/>
        <v>0.14552545155993432</v>
      </c>
      <c r="P7" s="7">
        <f t="shared" si="12"/>
        <v>0</v>
      </c>
    </row>
    <row r="8" spans="1:27" x14ac:dyDescent="0.3">
      <c r="A8">
        <v>2022</v>
      </c>
      <c r="B8">
        <f>SUMIFS(INDEX('Historical Data'!$C$2:$ZZ$100,0,MATCH(A8&amp;"",'Historical Data'!$C$1:$ZZ$1,0)),'Historical Data'!$B$2:$B$100,"2nd Division")</f>
        <v>693</v>
      </c>
      <c r="C8" s="7">
        <f t="shared" si="4"/>
        <v>679.66666666666663</v>
      </c>
      <c r="D8" s="7">
        <f t="shared" si="0"/>
        <v>13.333333333333371</v>
      </c>
      <c r="E8" s="7">
        <f t="shared" si="1"/>
        <v>13.333333333333371</v>
      </c>
      <c r="F8" s="9">
        <f t="shared" si="2"/>
        <v>1.9240019240019293E-2</v>
      </c>
      <c r="G8" s="10">
        <f t="shared" si="5"/>
        <v>671.2</v>
      </c>
      <c r="H8" s="10">
        <f t="shared" si="6"/>
        <v>21.799999999999955</v>
      </c>
      <c r="I8" s="10">
        <f t="shared" si="7"/>
        <v>21.799999999999955</v>
      </c>
      <c r="J8" s="8">
        <f t="shared" si="8"/>
        <v>3.1457431457431392E-2</v>
      </c>
      <c r="K8" s="8"/>
      <c r="L8" s="10">
        <f t="shared" si="3"/>
        <v>653.3125</v>
      </c>
      <c r="M8" s="10">
        <f t="shared" si="9"/>
        <v>39.6875</v>
      </c>
      <c r="N8" s="10">
        <f t="shared" si="10"/>
        <v>39.6875</v>
      </c>
      <c r="O8" s="9">
        <f t="shared" si="11"/>
        <v>5.7269119769119768E-2</v>
      </c>
      <c r="P8" s="7">
        <f t="shared" si="12"/>
        <v>39.6875</v>
      </c>
    </row>
    <row r="9" spans="1:27" x14ac:dyDescent="0.3">
      <c r="A9">
        <v>2023</v>
      </c>
      <c r="B9">
        <f>SUMIFS(INDEX('Historical Data'!$C$2:$ZZ$100,0,MATCH(A9&amp;"",'Historical Data'!$C$1:$ZZ$1,0)),'Historical Data'!$B$2:$B$100,"2nd Division")</f>
        <v>641</v>
      </c>
      <c r="C9" s="7">
        <f t="shared" si="4"/>
        <v>703</v>
      </c>
      <c r="D9" s="7">
        <f t="shared" si="0"/>
        <v>-62</v>
      </c>
      <c r="E9" s="7">
        <f t="shared" si="1"/>
        <v>62</v>
      </c>
      <c r="F9" s="9">
        <f t="shared" si="2"/>
        <v>9.6723868954758194E-2</v>
      </c>
      <c r="G9" s="10">
        <f t="shared" si="5"/>
        <v>690.6</v>
      </c>
      <c r="H9" s="10">
        <f t="shared" si="6"/>
        <v>-49.600000000000023</v>
      </c>
      <c r="I9" s="10">
        <f t="shared" si="7"/>
        <v>49.600000000000023</v>
      </c>
      <c r="J9" s="8">
        <f t="shared" si="8"/>
        <v>7.7379095163806588E-2</v>
      </c>
      <c r="K9" s="8"/>
      <c r="L9" s="10">
        <f t="shared" si="3"/>
        <v>673.15625</v>
      </c>
      <c r="M9" s="10">
        <f t="shared" si="9"/>
        <v>-32.15625</v>
      </c>
      <c r="N9" s="10">
        <f t="shared" si="10"/>
        <v>32.15625</v>
      </c>
      <c r="O9" s="9">
        <f t="shared" si="11"/>
        <v>5.0165756630265214E-2</v>
      </c>
      <c r="P9" s="7">
        <f t="shared" si="12"/>
        <v>0</v>
      </c>
    </row>
    <row r="10" spans="1:27" x14ac:dyDescent="0.3">
      <c r="A10">
        <v>2024</v>
      </c>
      <c r="B10">
        <f>SUMIFS(INDEX('Historical Data'!$C$2:$ZZ$100,0,MATCH(A10&amp;"",'Historical Data'!$C$1:$ZZ$1,0)),'Historical Data'!$B$2:$B$100,"2nd Division")</f>
        <v>713</v>
      </c>
      <c r="C10" s="7">
        <f t="shared" si="4"/>
        <v>647.66666666666663</v>
      </c>
      <c r="D10" s="7">
        <f t="shared" si="0"/>
        <v>65.333333333333371</v>
      </c>
      <c r="E10" s="7">
        <f t="shared" si="1"/>
        <v>65.333333333333371</v>
      </c>
      <c r="F10" s="9">
        <f t="shared" si="2"/>
        <v>9.1631603553062227E-2</v>
      </c>
      <c r="G10" s="10">
        <f t="shared" si="5"/>
        <v>650.20000000000005</v>
      </c>
      <c r="H10" s="10">
        <f t="shared" si="6"/>
        <v>62.799999999999955</v>
      </c>
      <c r="I10" s="10">
        <f t="shared" si="7"/>
        <v>62.799999999999955</v>
      </c>
      <c r="J10" s="8">
        <f t="shared" si="8"/>
        <v>8.807854137447399E-2</v>
      </c>
      <c r="K10" s="8"/>
      <c r="L10" s="10">
        <f t="shared" si="3"/>
        <v>657.078125</v>
      </c>
      <c r="M10" s="10">
        <f t="shared" si="9"/>
        <v>55.921875</v>
      </c>
      <c r="N10" s="10">
        <f t="shared" si="10"/>
        <v>55.921875</v>
      </c>
      <c r="O10" s="9">
        <f t="shared" si="11"/>
        <v>7.843180224403927E-2</v>
      </c>
      <c r="P10" s="7">
        <f t="shared" si="12"/>
        <v>55.921875</v>
      </c>
    </row>
    <row r="11" spans="1:27" x14ac:dyDescent="0.3">
      <c r="A11">
        <v>2025</v>
      </c>
      <c r="B11">
        <f>SUMIFS(INDEX('Historical Data'!$C$2:$ZZ$100,0,MATCH(A11&amp;"",'Historical Data'!$C$1:$ZZ$1,0)),'Historical Data'!$B$2:$B$100,"2nd Division")</f>
        <v>750</v>
      </c>
      <c r="C11" s="7">
        <f t="shared" si="4"/>
        <v>682.33333333333337</v>
      </c>
      <c r="D11" s="7">
        <f t="shared" si="0"/>
        <v>67.666666666666629</v>
      </c>
      <c r="E11" s="7">
        <f t="shared" si="1"/>
        <v>67.666666666666629</v>
      </c>
      <c r="F11" s="9">
        <f t="shared" si="2"/>
        <v>9.0222222222222176E-2</v>
      </c>
      <c r="G11" s="10">
        <f>(B10*0.5)+(B9*0.3)+(B8*0.2)</f>
        <v>687.4</v>
      </c>
      <c r="H11" s="10">
        <f t="shared" si="6"/>
        <v>62.600000000000023</v>
      </c>
      <c r="I11" s="10">
        <f t="shared" si="7"/>
        <v>62.600000000000023</v>
      </c>
      <c r="J11" s="8">
        <f t="shared" si="8"/>
        <v>8.3466666666666703E-2</v>
      </c>
      <c r="K11" s="8"/>
      <c r="L11" s="10">
        <f t="shared" si="3"/>
        <v>685.0390625</v>
      </c>
      <c r="M11" s="10">
        <f t="shared" si="9"/>
        <v>64.9609375</v>
      </c>
      <c r="N11" s="10">
        <f t="shared" si="10"/>
        <v>64.9609375</v>
      </c>
      <c r="O11" s="9">
        <f t="shared" si="11"/>
        <v>8.6614583333333328E-2</v>
      </c>
      <c r="P11" s="7">
        <f t="shared" si="12"/>
        <v>64.9609375</v>
      </c>
    </row>
    <row r="12" spans="1:27" x14ac:dyDescent="0.3">
      <c r="D12" s="7">
        <f t="shared" ref="D12:J12" si="13">AVERAGE(D5:D11)</f>
        <v>50.238095238095248</v>
      </c>
      <c r="E12" s="7">
        <f t="shared" si="13"/>
        <v>96.714285714285708</v>
      </c>
      <c r="F12" s="9">
        <f t="shared" si="13"/>
        <v>0.13747306570920725</v>
      </c>
      <c r="H12" s="10">
        <f t="shared" si="13"/>
        <v>38.257142857142831</v>
      </c>
      <c r="I12" s="10">
        <f t="shared" si="13"/>
        <v>87.05714285714285</v>
      </c>
      <c r="J12" s="9">
        <f t="shared" si="13"/>
        <v>0.12401168469599712</v>
      </c>
      <c r="K12" s="9"/>
      <c r="M12" s="10">
        <f>AVERAGE(M5:M11)</f>
        <v>46.862723214285715</v>
      </c>
      <c r="N12" s="10">
        <f>AVERAGE(N5:N11)</f>
        <v>81.371651785714292</v>
      </c>
      <c r="O12" s="9">
        <f>AVERAGE(O5:O11)</f>
        <v>0.11437562446013705</v>
      </c>
    </row>
    <row r="14" spans="1:27" x14ac:dyDescent="0.3">
      <c r="A14">
        <v>2026</v>
      </c>
      <c r="B14" t="str">
        <f>IF(COUNT('Historical Data'!M3,'Historical Data'!M6,'Historical Data'!M9,'Historical Data'!M12,'Historical Data'!M15,'Historical Data'!M18,'Historical Data'!M21)=7,SUM('Historical Data'!M3,'Historical Data'!M6,'Historical Data'!M9,'Historical Data'!M12,'Historical Data'!M15,'Historical Data'!M18,'Historical Data'!M21),"")</f>
        <v/>
      </c>
      <c r="C14" s="7">
        <f>AVERAGE(B9:B11)</f>
        <v>701.33333333333337</v>
      </c>
      <c r="G14" s="10">
        <f>(B11*0.5)+(B10*0.3)+(B9*0.2)</f>
        <v>717.1</v>
      </c>
      <c r="L14" s="10">
        <f>$K$2*B11+(1-$K$2)*L11</f>
        <v>717.51953125</v>
      </c>
    </row>
    <row r="15" spans="1:27" x14ac:dyDescent="0.3">
      <c r="A15">
        <v>2027</v>
      </c>
      <c r="L15" s="7">
        <f>IF(ISNUMBER(B14),$K$2*B14+(1-$K$2)*L14,L14)</f>
        <v>717.51953125</v>
      </c>
    </row>
    <row r="16" spans="1:27" x14ac:dyDescent="0.3">
      <c r="B16" s="7"/>
    </row>
    <row r="18" spans="12:13" x14ac:dyDescent="0.3">
      <c r="L18" t="s">
        <v>69</v>
      </c>
      <c r="M18" s="7">
        <f>MAX(P5:P11)</f>
        <v>218.75</v>
      </c>
    </row>
    <row r="19" spans="12:13" x14ac:dyDescent="0.3">
      <c r="L19" t="s">
        <v>67</v>
      </c>
      <c r="M19" s="7">
        <f>AVERAGE(P5:P11)</f>
        <v>64.1171875</v>
      </c>
    </row>
    <row r="20" spans="12:13" x14ac:dyDescent="0.3">
      <c r="L20" t="s">
        <v>68</v>
      </c>
      <c r="M20" s="9">
        <f>COUNTIF(P5:P11, "&lt;=96")/COUNT(P5:P11)</f>
        <v>0.8571428571428571</v>
      </c>
    </row>
  </sheetData>
  <mergeCells count="6">
    <mergeCell ref="Q2:S3"/>
    <mergeCell ref="U2:W3"/>
    <mergeCell ref="Y2:AA3"/>
    <mergeCell ref="Q4:S6"/>
    <mergeCell ref="U4:W6"/>
    <mergeCell ref="Y4:AA6"/>
  </mergeCells>
  <pageMargins left="0.7" right="0.7" top="0.75" bottom="0.75" header="0.3" footer="0.3"/>
  <pageSetup orientation="portrait" horizontalDpi="90" verticalDpi="9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FAA99-8CF1-448D-B8C0-D60D7FCAD916}">
  <dimension ref="A1:AA19"/>
  <sheetViews>
    <sheetView workbookViewId="0">
      <selection activeCell="B14" sqref="B14"/>
    </sheetView>
  </sheetViews>
  <sheetFormatPr defaultColWidth="8.796875" defaultRowHeight="15.6" x14ac:dyDescent="0.3"/>
  <cols>
    <col min="1" max="1" width="4.796875" bestFit="1" customWidth="1"/>
    <col min="2" max="2" width="13.796875" bestFit="1" customWidth="1"/>
    <col min="3" max="3" width="15.19921875" bestFit="1" customWidth="1"/>
    <col min="4" max="4" width="7" bestFit="1" customWidth="1"/>
    <col min="5" max="5" width="13.19921875" bestFit="1" customWidth="1"/>
    <col min="6" max="6" width="15.19921875" bestFit="1" customWidth="1"/>
    <col min="7" max="7" width="16.69921875" bestFit="1" customWidth="1"/>
    <col min="8" max="8" width="7" bestFit="1" customWidth="1"/>
    <col min="9" max="9" width="13.19921875" bestFit="1" customWidth="1"/>
    <col min="10" max="10" width="15.19921875" bestFit="1" customWidth="1"/>
    <col min="11" max="11" width="5.796875" bestFit="1" customWidth="1"/>
    <col min="12" max="12" width="20.69921875" bestFit="1" customWidth="1"/>
    <col min="13" max="13" width="7" bestFit="1" customWidth="1"/>
    <col min="14" max="14" width="13.19921875" bestFit="1" customWidth="1"/>
    <col min="15" max="15" width="15.19921875" bestFit="1" customWidth="1"/>
    <col min="17" max="19" width="6.19921875" customWidth="1"/>
    <col min="21" max="23" width="6.19921875" customWidth="1"/>
    <col min="25" max="27" width="6.19921875" customWidth="1"/>
  </cols>
  <sheetData>
    <row r="1" spans="1:27" x14ac:dyDescent="0.3">
      <c r="A1" t="s">
        <v>12</v>
      </c>
      <c r="B1" t="s">
        <v>13</v>
      </c>
      <c r="C1" t="s">
        <v>18</v>
      </c>
      <c r="D1" t="s">
        <v>14</v>
      </c>
      <c r="E1" t="s">
        <v>15</v>
      </c>
      <c r="F1" t="s">
        <v>16</v>
      </c>
      <c r="G1" t="s">
        <v>17</v>
      </c>
      <c r="H1" t="s">
        <v>14</v>
      </c>
      <c r="I1" t="s">
        <v>15</v>
      </c>
      <c r="J1" t="s">
        <v>16</v>
      </c>
      <c r="K1" t="s">
        <v>19</v>
      </c>
      <c r="L1" t="s">
        <v>20</v>
      </c>
      <c r="M1" t="s">
        <v>14</v>
      </c>
      <c r="N1" t="s">
        <v>15</v>
      </c>
      <c r="O1" t="s">
        <v>16</v>
      </c>
    </row>
    <row r="2" spans="1:27" x14ac:dyDescent="0.3">
      <c r="A2">
        <v>2016</v>
      </c>
      <c r="B2">
        <f>SUMIFS(INDEX('Historical Data'!$C$2:$ZZ$100,0,MATCH(A2&amp;"",'Historical Data'!$C$1:$ZZ$1,0)),'Historical Data'!$B$2:$B$100,"3rd Division")</f>
        <v>364</v>
      </c>
      <c r="D2" s="7"/>
      <c r="E2" s="7"/>
      <c r="F2" s="9"/>
      <c r="G2" s="9"/>
      <c r="H2" s="9"/>
      <c r="I2" s="9"/>
      <c r="J2" s="9"/>
      <c r="K2" s="10">
        <v>0.5</v>
      </c>
      <c r="L2" s="10"/>
      <c r="M2" s="10"/>
      <c r="N2" s="10"/>
      <c r="O2" s="10"/>
      <c r="Q2" s="48" t="s">
        <v>49</v>
      </c>
      <c r="R2" s="48"/>
      <c r="S2" s="48"/>
      <c r="U2" s="48" t="s">
        <v>50</v>
      </c>
      <c r="V2" s="48"/>
      <c r="W2" s="48"/>
      <c r="Y2" s="48" t="s">
        <v>51</v>
      </c>
      <c r="Z2" s="48"/>
      <c r="AA2" s="48"/>
    </row>
    <row r="3" spans="1:27" x14ac:dyDescent="0.3">
      <c r="A3">
        <v>2017</v>
      </c>
      <c r="B3">
        <f>SUMIFS(INDEX('Historical Data'!$C$2:$ZZ$100,0,MATCH(A3&amp;"",'Historical Data'!$C$1:$ZZ$1,0)),'Historical Data'!$B$2:$B$100,"3rd Division")</f>
        <v>377</v>
      </c>
      <c r="D3" s="7"/>
      <c r="E3" s="7"/>
      <c r="F3" s="9"/>
      <c r="G3" s="9"/>
      <c r="H3" s="9"/>
      <c r="I3" s="9"/>
      <c r="J3" s="9"/>
      <c r="K3" s="10"/>
      <c r="L3" s="10">
        <f>B2</f>
        <v>364</v>
      </c>
      <c r="M3" s="10"/>
      <c r="N3" s="10"/>
      <c r="O3" s="10"/>
      <c r="Q3" s="48"/>
      <c r="R3" s="48"/>
      <c r="S3" s="48"/>
      <c r="U3" s="48"/>
      <c r="V3" s="48"/>
      <c r="W3" s="48"/>
      <c r="Y3" s="48"/>
      <c r="Z3" s="48"/>
      <c r="AA3" s="48"/>
    </row>
    <row r="4" spans="1:27" x14ac:dyDescent="0.3">
      <c r="A4">
        <v>2018</v>
      </c>
      <c r="B4">
        <f>SUMIFS(INDEX('Historical Data'!$C$2:$ZZ$100,0,MATCH(A4&amp;"",'Historical Data'!$C$1:$ZZ$1,0)),'Historical Data'!$B$2:$B$100,"3rd Division")</f>
        <v>686</v>
      </c>
      <c r="C4" s="7"/>
      <c r="D4" s="7"/>
      <c r="E4" s="7"/>
      <c r="F4" s="9"/>
      <c r="G4" s="9"/>
      <c r="H4" s="9"/>
      <c r="I4" s="9"/>
      <c r="J4" s="9"/>
      <c r="K4" s="10"/>
      <c r="L4" s="10">
        <f>$K$2*B3+(1-$K$2)*L3</f>
        <v>370.5</v>
      </c>
      <c r="M4" s="10"/>
      <c r="N4" s="10"/>
      <c r="O4" s="10"/>
      <c r="Q4" s="51">
        <f>'Model Comparison'!J4</f>
        <v>642</v>
      </c>
      <c r="R4" s="51"/>
      <c r="S4" s="51"/>
      <c r="U4" s="55" t="str">
        <f>_xlfn.XLOOKUP("Best",'Model Comparison'!G8:G10, 'Model Comparison'!B8:B10)</f>
        <v>Weighted Moving Average</v>
      </c>
      <c r="V4" s="55"/>
      <c r="W4" s="55"/>
      <c r="Y4" s="49">
        <f>MIN('Model Comparison'!C8:C10)</f>
        <v>86.685714285714297</v>
      </c>
      <c r="Z4" s="49"/>
      <c r="AA4" s="49"/>
    </row>
    <row r="5" spans="1:27" x14ac:dyDescent="0.3">
      <c r="A5">
        <v>2019</v>
      </c>
      <c r="B5">
        <f>SUMIFS(INDEX('Historical Data'!$C$2:$ZZ$100,0,MATCH(A5&amp;"",'Historical Data'!$C$1:$ZZ$1,0)),'Historical Data'!$B$2:$B$100,"3rd Division")</f>
        <v>805</v>
      </c>
      <c r="C5" s="7">
        <f>AVERAGE(B2:B4)</f>
        <v>475.66666666666669</v>
      </c>
      <c r="D5" s="7">
        <f t="shared" ref="D5:D11" si="0">B5-C5</f>
        <v>329.33333333333331</v>
      </c>
      <c r="E5" s="7">
        <f t="shared" ref="E5:E11" si="1">ABS(D5)</f>
        <v>329.33333333333331</v>
      </c>
      <c r="F5" s="9">
        <f t="shared" ref="F5:F11" si="2">IFERROR(E5/B5,"")</f>
        <v>0.40910973084886126</v>
      </c>
      <c r="G5" s="10">
        <f t="shared" ref="G5:G11" si="3">(B4*0.5)+(B3*0.3)+(B2*0.2)</f>
        <v>528.9</v>
      </c>
      <c r="H5" s="10">
        <f>B5-G5</f>
        <v>276.10000000000002</v>
      </c>
      <c r="I5" s="10">
        <f>ABS(H5)</f>
        <v>276.10000000000002</v>
      </c>
      <c r="J5" s="8">
        <f>IFERROR(I5/B5,"")</f>
        <v>0.34298136645962735</v>
      </c>
      <c r="K5" s="10"/>
      <c r="L5" s="10">
        <f t="shared" ref="L5:L11" si="4">$K$2*B4+(1-$K$2)*L4</f>
        <v>528.25</v>
      </c>
      <c r="M5" s="10">
        <f>B5-L5</f>
        <v>276.75</v>
      </c>
      <c r="N5" s="10">
        <f>ABS(M5)</f>
        <v>276.75</v>
      </c>
      <c r="O5" s="9">
        <f>IFERROR(N5/B5,"")</f>
        <v>0.34378881987577642</v>
      </c>
      <c r="P5" s="7">
        <f>MAX(0,B5-G5)</f>
        <v>276.10000000000002</v>
      </c>
      <c r="Q5" s="51"/>
      <c r="R5" s="51"/>
      <c r="S5" s="51"/>
      <c r="U5" s="55"/>
      <c r="V5" s="55"/>
      <c r="W5" s="55"/>
      <c r="Y5" s="49"/>
      <c r="Z5" s="49"/>
      <c r="AA5" s="49"/>
    </row>
    <row r="6" spans="1:27" x14ac:dyDescent="0.3">
      <c r="A6">
        <v>2020</v>
      </c>
      <c r="B6">
        <f>SUMIFS(INDEX('Historical Data'!$C$2:$ZZ$100,0,MATCH(A6&amp;"",'Historical Data'!$C$1:$ZZ$1,0)),'Historical Data'!$B$2:$B$100,"3rd Division")</f>
        <v>731</v>
      </c>
      <c r="C6" s="7">
        <f t="shared" ref="C6:C10" si="5">AVERAGE(B3:B5)</f>
        <v>622.66666666666663</v>
      </c>
      <c r="D6" s="7">
        <f t="shared" si="0"/>
        <v>108.33333333333337</v>
      </c>
      <c r="E6" s="7">
        <f t="shared" si="1"/>
        <v>108.33333333333337</v>
      </c>
      <c r="F6" s="9">
        <f t="shared" si="2"/>
        <v>0.14819881440948476</v>
      </c>
      <c r="G6" s="10">
        <f t="shared" si="3"/>
        <v>683.69999999999993</v>
      </c>
      <c r="H6" s="10">
        <f t="shared" ref="H6:H11" si="6">B6-G6</f>
        <v>47.300000000000068</v>
      </c>
      <c r="I6" s="10">
        <f t="shared" ref="I6:I11" si="7">ABS(H6)</f>
        <v>47.300000000000068</v>
      </c>
      <c r="J6" s="8">
        <f t="shared" ref="J6:J11" si="8">IFERROR(I6/B6,"")</f>
        <v>6.4705882352941266E-2</v>
      </c>
      <c r="K6" s="10"/>
      <c r="L6" s="10">
        <f t="shared" si="4"/>
        <v>666.625</v>
      </c>
      <c r="M6" s="10">
        <f t="shared" ref="M6:M11" si="9">B6-L6</f>
        <v>64.375</v>
      </c>
      <c r="N6" s="10">
        <f t="shared" ref="N6:N11" si="10">ABS(M6)</f>
        <v>64.375</v>
      </c>
      <c r="O6" s="9">
        <f t="shared" ref="O6:O11" si="11">IFERROR(N6/B6,"")</f>
        <v>8.8064295485636115E-2</v>
      </c>
      <c r="P6" s="7">
        <f t="shared" ref="P6:P11" si="12">MAX(0,B6-G6)</f>
        <v>47.300000000000068</v>
      </c>
      <c r="Q6" s="52"/>
      <c r="R6" s="52"/>
      <c r="S6" s="52"/>
      <c r="U6" s="56"/>
      <c r="V6" s="56"/>
      <c r="W6" s="56"/>
      <c r="Y6" s="50"/>
      <c r="Z6" s="50"/>
      <c r="AA6" s="50"/>
    </row>
    <row r="7" spans="1:27" x14ac:dyDescent="0.3">
      <c r="A7">
        <v>2021</v>
      </c>
      <c r="B7">
        <f>SUMIFS(INDEX('Historical Data'!$C$2:$ZZ$100,0,MATCH(A7&amp;"",'Historical Data'!$C$1:$ZZ$1,0)),'Historical Data'!$B$2:$B$100,"3rd Division")</f>
        <v>730</v>
      </c>
      <c r="C7" s="7">
        <f t="shared" si="5"/>
        <v>740.66666666666663</v>
      </c>
      <c r="D7" s="7">
        <f t="shared" si="0"/>
        <v>-10.666666666666629</v>
      </c>
      <c r="E7" s="7">
        <f t="shared" si="1"/>
        <v>10.666666666666629</v>
      </c>
      <c r="F7" s="9">
        <f t="shared" si="2"/>
        <v>1.4611872146118669E-2</v>
      </c>
      <c r="G7" s="10">
        <f t="shared" si="3"/>
        <v>744.2</v>
      </c>
      <c r="H7" s="10">
        <f t="shared" si="6"/>
        <v>-14.200000000000045</v>
      </c>
      <c r="I7" s="10">
        <f t="shared" si="7"/>
        <v>14.200000000000045</v>
      </c>
      <c r="J7" s="8">
        <f t="shared" si="8"/>
        <v>1.9452054794520609E-2</v>
      </c>
      <c r="K7" s="8"/>
      <c r="L7" s="10">
        <f t="shared" si="4"/>
        <v>698.8125</v>
      </c>
      <c r="M7" s="10">
        <f t="shared" si="9"/>
        <v>31.1875</v>
      </c>
      <c r="N7" s="10">
        <f t="shared" si="10"/>
        <v>31.1875</v>
      </c>
      <c r="O7" s="9">
        <f t="shared" si="11"/>
        <v>4.2722602739726029E-2</v>
      </c>
      <c r="P7" s="7">
        <f t="shared" si="12"/>
        <v>0</v>
      </c>
    </row>
    <row r="8" spans="1:27" x14ac:dyDescent="0.3">
      <c r="A8">
        <v>2022</v>
      </c>
      <c r="B8">
        <f>SUMIFS(INDEX('Historical Data'!$C$2:$ZZ$100,0,MATCH(A8&amp;"",'Historical Data'!$C$1:$ZZ$1,0)),'Historical Data'!$B$2:$B$100,"3rd Division")</f>
        <v>737</v>
      </c>
      <c r="C8" s="7">
        <f t="shared" si="5"/>
        <v>755.33333333333337</v>
      </c>
      <c r="D8" s="7">
        <f t="shared" si="0"/>
        <v>-18.333333333333371</v>
      </c>
      <c r="E8" s="7">
        <f t="shared" si="1"/>
        <v>18.333333333333371</v>
      </c>
      <c r="F8" s="9">
        <f t="shared" si="2"/>
        <v>2.4875621890547314E-2</v>
      </c>
      <c r="G8" s="10">
        <f t="shared" si="3"/>
        <v>745.3</v>
      </c>
      <c r="H8" s="10">
        <f t="shared" si="6"/>
        <v>-8.2999999999999545</v>
      </c>
      <c r="I8" s="10">
        <f t="shared" si="7"/>
        <v>8.2999999999999545</v>
      </c>
      <c r="J8" s="8">
        <f t="shared" si="8"/>
        <v>1.1261872455902246E-2</v>
      </c>
      <c r="K8" s="8"/>
      <c r="L8" s="10">
        <f t="shared" si="4"/>
        <v>714.40625</v>
      </c>
      <c r="M8" s="10">
        <f t="shared" si="9"/>
        <v>22.59375</v>
      </c>
      <c r="N8" s="10">
        <f t="shared" si="10"/>
        <v>22.59375</v>
      </c>
      <c r="O8" s="9">
        <f t="shared" si="11"/>
        <v>3.0656377204884667E-2</v>
      </c>
      <c r="P8" s="7">
        <f t="shared" si="12"/>
        <v>0</v>
      </c>
    </row>
    <row r="9" spans="1:27" x14ac:dyDescent="0.3">
      <c r="A9">
        <v>2023</v>
      </c>
      <c r="B9">
        <f>SUMIFS(INDEX('Historical Data'!$C$2:$ZZ$100,0,MATCH(A9&amp;"",'Historical Data'!$C$1:$ZZ$1,0)),'Historical Data'!$B$2:$B$100,"3rd Division")</f>
        <v>688</v>
      </c>
      <c r="C9" s="7">
        <f t="shared" si="5"/>
        <v>732.66666666666663</v>
      </c>
      <c r="D9" s="7">
        <f t="shared" si="0"/>
        <v>-44.666666666666629</v>
      </c>
      <c r="E9" s="7">
        <f t="shared" si="1"/>
        <v>44.666666666666629</v>
      </c>
      <c r="F9" s="9">
        <f t="shared" si="2"/>
        <v>6.4922480620154988E-2</v>
      </c>
      <c r="G9" s="10">
        <f t="shared" si="3"/>
        <v>733.7</v>
      </c>
      <c r="H9" s="10">
        <f t="shared" si="6"/>
        <v>-45.700000000000045</v>
      </c>
      <c r="I9" s="10">
        <f t="shared" si="7"/>
        <v>45.700000000000045</v>
      </c>
      <c r="J9" s="8">
        <f t="shared" si="8"/>
        <v>6.6424418604651231E-2</v>
      </c>
      <c r="K9" s="8"/>
      <c r="L9" s="10">
        <f t="shared" si="4"/>
        <v>725.703125</v>
      </c>
      <c r="M9" s="10">
        <f t="shared" si="9"/>
        <v>-37.703125</v>
      </c>
      <c r="N9" s="10">
        <f t="shared" si="10"/>
        <v>37.703125</v>
      </c>
      <c r="O9" s="9">
        <f t="shared" si="11"/>
        <v>5.4801053779069769E-2</v>
      </c>
      <c r="P9" s="7">
        <f t="shared" si="12"/>
        <v>0</v>
      </c>
    </row>
    <row r="10" spans="1:27" x14ac:dyDescent="0.3">
      <c r="A10">
        <v>2024</v>
      </c>
      <c r="B10">
        <f>SUMIFS(INDEX('Historical Data'!$C$2:$ZZ$100,0,MATCH(A10&amp;"",'Historical Data'!$C$1:$ZZ$1,0)),'Historical Data'!$B$2:$B$100,"3rd Division")</f>
        <v>753</v>
      </c>
      <c r="C10" s="7">
        <f t="shared" si="5"/>
        <v>718.33333333333337</v>
      </c>
      <c r="D10" s="7">
        <f t="shared" si="0"/>
        <v>34.666666666666629</v>
      </c>
      <c r="E10" s="7">
        <f t="shared" si="1"/>
        <v>34.666666666666629</v>
      </c>
      <c r="F10" s="9">
        <f t="shared" si="2"/>
        <v>4.603806994245236E-2</v>
      </c>
      <c r="G10" s="10">
        <f t="shared" si="3"/>
        <v>711.1</v>
      </c>
      <c r="H10" s="10">
        <f t="shared" si="6"/>
        <v>41.899999999999977</v>
      </c>
      <c r="I10" s="10">
        <f t="shared" si="7"/>
        <v>41.899999999999977</v>
      </c>
      <c r="J10" s="8">
        <f t="shared" si="8"/>
        <v>5.5644090305444857E-2</v>
      </c>
      <c r="K10" s="8"/>
      <c r="L10" s="10">
        <f t="shared" si="4"/>
        <v>706.8515625</v>
      </c>
      <c r="M10" s="10">
        <f t="shared" si="9"/>
        <v>46.1484375</v>
      </c>
      <c r="N10" s="10">
        <f t="shared" si="10"/>
        <v>46.1484375</v>
      </c>
      <c r="O10" s="9">
        <f t="shared" si="11"/>
        <v>6.1286105577689244E-2</v>
      </c>
      <c r="P10" s="7">
        <f t="shared" si="12"/>
        <v>41.899999999999977</v>
      </c>
    </row>
    <row r="11" spans="1:27" x14ac:dyDescent="0.3">
      <c r="A11">
        <v>2025</v>
      </c>
      <c r="B11">
        <f>SUMIFS(INDEX('Historical Data'!$C$2:$ZZ$100,0,MATCH(A11&amp;"",'Historical Data'!$C$1:$ZZ$1,0)),'Historical Data'!$B$2:$B$100,"3rd Division")</f>
        <v>557</v>
      </c>
      <c r="C11" s="7">
        <f>AVERAGE(B8:B10)</f>
        <v>726</v>
      </c>
      <c r="D11" s="7">
        <f t="shared" si="0"/>
        <v>-169</v>
      </c>
      <c r="E11" s="7">
        <f t="shared" si="1"/>
        <v>169</v>
      </c>
      <c r="F11" s="9">
        <f t="shared" si="2"/>
        <v>0.30341113105924594</v>
      </c>
      <c r="G11" s="10">
        <f t="shared" si="3"/>
        <v>730.3</v>
      </c>
      <c r="H11" s="10">
        <f t="shared" si="6"/>
        <v>-173.29999999999995</v>
      </c>
      <c r="I11" s="10">
        <f t="shared" si="7"/>
        <v>173.29999999999995</v>
      </c>
      <c r="J11" s="8">
        <f t="shared" si="8"/>
        <v>0.31113105924596041</v>
      </c>
      <c r="K11" s="8"/>
      <c r="L11" s="10">
        <f t="shared" si="4"/>
        <v>729.92578125</v>
      </c>
      <c r="M11" s="10">
        <f t="shared" si="9"/>
        <v>-172.92578125</v>
      </c>
      <c r="N11" s="10">
        <f t="shared" si="10"/>
        <v>172.92578125</v>
      </c>
      <c r="O11" s="9">
        <f t="shared" si="11"/>
        <v>0.31045921229802514</v>
      </c>
      <c r="P11" s="7">
        <f t="shared" si="12"/>
        <v>0</v>
      </c>
    </row>
    <row r="12" spans="1:27" x14ac:dyDescent="0.3">
      <c r="D12" s="7">
        <f t="shared" ref="D12:J12" si="13">AVERAGE(D5:D11)</f>
        <v>32.80952380952381</v>
      </c>
      <c r="E12" s="7">
        <f t="shared" si="13"/>
        <v>102.14285714285714</v>
      </c>
      <c r="F12" s="9">
        <f t="shared" si="13"/>
        <v>0.14445253155955218</v>
      </c>
      <c r="H12" s="10">
        <f t="shared" si="13"/>
        <v>17.685714285714294</v>
      </c>
      <c r="I12" s="10">
        <f t="shared" si="13"/>
        <v>86.685714285714297</v>
      </c>
      <c r="J12" s="9">
        <f t="shared" si="13"/>
        <v>0.12451439203129257</v>
      </c>
      <c r="K12" s="9"/>
      <c r="M12" s="10">
        <f>AVERAGE(M5:M11)</f>
        <v>32.91796875</v>
      </c>
      <c r="N12" s="10">
        <f>AVERAGE(N5:N11)</f>
        <v>93.09765625</v>
      </c>
      <c r="O12" s="9">
        <f>AVERAGE(O5:O11)</f>
        <v>0.13311120956582961</v>
      </c>
    </row>
    <row r="14" spans="1:27" x14ac:dyDescent="0.3">
      <c r="A14">
        <v>2026</v>
      </c>
      <c r="B14" t="str">
        <f>IF(COUNT('Historical Data'!M4,'Historical Data'!M7,'Historical Data'!M10,'Historical Data'!M13,'Historical Data'!M16,'Historical Data'!M19,'Historical Data'!M22)=7,SUM('Historical Data'!M4,'Historical Data'!M7,'Historical Data'!M10,'Historical Data'!M13,'Historical Data'!M16,'Historical Data'!M19,'Historical Data'!M22),"")</f>
        <v/>
      </c>
      <c r="C14" s="7">
        <f>AVERAGE(B9:B11)</f>
        <v>666</v>
      </c>
      <c r="G14" s="10">
        <f>(B11*0.5)+(B10*0.3)+(B9*0.2)</f>
        <v>642</v>
      </c>
      <c r="L14" s="10">
        <f>$K$2*B11+(1-$K$2)*L11</f>
        <v>643.462890625</v>
      </c>
    </row>
    <row r="15" spans="1:27" x14ac:dyDescent="0.3">
      <c r="A15">
        <v>2027</v>
      </c>
      <c r="G15" s="10">
        <f>IF(ISNUMBER(B14),B14*0.5+B11*0.3+B10*0.2,G14*0.5+B11*0.3+B10*0.2)</f>
        <v>638.70000000000005</v>
      </c>
    </row>
    <row r="16" spans="1:27" x14ac:dyDescent="0.3">
      <c r="B16" s="7"/>
    </row>
    <row r="17" spans="12:13" x14ac:dyDescent="0.3">
      <c r="L17" t="s">
        <v>69</v>
      </c>
      <c r="M17" s="7">
        <f>MAX(P5:P11)</f>
        <v>276.10000000000002</v>
      </c>
    </row>
    <row r="18" spans="12:13" x14ac:dyDescent="0.3">
      <c r="L18" t="s">
        <v>67</v>
      </c>
      <c r="M18" s="7">
        <f>AVERAGE(P5:P11)</f>
        <v>52.185714285714297</v>
      </c>
    </row>
    <row r="19" spans="12:13" x14ac:dyDescent="0.3">
      <c r="L19" t="s">
        <v>68</v>
      </c>
      <c r="M19" s="8">
        <f>COUNTIF(P5:P11, "&lt;=133")/COUNT(P5:P11)</f>
        <v>0.8571428571428571</v>
      </c>
    </row>
  </sheetData>
  <mergeCells count="6">
    <mergeCell ref="Q2:S3"/>
    <mergeCell ref="U2:W3"/>
    <mergeCell ref="Y2:AA3"/>
    <mergeCell ref="Q4:S6"/>
    <mergeCell ref="U4:W6"/>
    <mergeCell ref="Y4:AA6"/>
  </mergeCells>
  <pageMargins left="0.7" right="0.7" top="0.75" bottom="0.75" header="0.3" footer="0.3"/>
  <pageSetup orientation="portrait" horizontalDpi="90" verticalDpi="9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52FAA-527E-4535-B79F-6337DB3D7481}">
  <dimension ref="A1:K10"/>
  <sheetViews>
    <sheetView workbookViewId="0">
      <selection activeCell="G19" sqref="G19"/>
    </sheetView>
  </sheetViews>
  <sheetFormatPr defaultColWidth="8.796875" defaultRowHeight="15.6" x14ac:dyDescent="0.3"/>
  <cols>
    <col min="1" max="1" width="9.19921875" customWidth="1"/>
    <col min="2" max="2" width="23.19921875" bestFit="1" customWidth="1"/>
    <col min="3" max="3" width="6.5" customWidth="1"/>
    <col min="4" max="4" width="7.5" customWidth="1"/>
    <col min="5" max="5" width="7.296875" bestFit="1" customWidth="1"/>
    <col min="6" max="6" width="14.19921875" customWidth="1"/>
    <col min="7" max="7" width="13.296875" bestFit="1" customWidth="1"/>
    <col min="9" max="9" width="10.19921875" customWidth="1"/>
    <col min="10" max="11" width="14.3984375" bestFit="1" customWidth="1"/>
  </cols>
  <sheetData>
    <row r="1" spans="1:11" x14ac:dyDescent="0.3">
      <c r="A1" t="s">
        <v>37</v>
      </c>
      <c r="B1" t="s">
        <v>38</v>
      </c>
      <c r="C1" t="s">
        <v>39</v>
      </c>
      <c r="D1" t="s">
        <v>40</v>
      </c>
      <c r="E1" t="s">
        <v>41</v>
      </c>
      <c r="F1" t="s">
        <v>42</v>
      </c>
      <c r="G1" t="s">
        <v>48</v>
      </c>
      <c r="I1" t="s">
        <v>37</v>
      </c>
      <c r="J1" s="7" t="s">
        <v>42</v>
      </c>
      <c r="K1" s="7" t="s">
        <v>62</v>
      </c>
    </row>
    <row r="2" spans="1:11" x14ac:dyDescent="0.3">
      <c r="A2" t="s">
        <v>43</v>
      </c>
      <c r="B2" t="s">
        <v>46</v>
      </c>
      <c r="C2" s="7">
        <f>'1st Division'!E12</f>
        <v>102.61904761904761</v>
      </c>
      <c r="D2" s="9">
        <f>'1st Division'!F12</f>
        <v>0.14206774574893991</v>
      </c>
      <c r="E2" s="7">
        <f>'1st Division'!D12</f>
        <v>51.476190476190474</v>
      </c>
      <c r="F2" s="7">
        <f>'1st Division'!C14</f>
        <v>677.66666666666663</v>
      </c>
      <c r="G2" t="str">
        <f>IF(C2=_xlfn.MINIFS($C$2:$C$10, $A$2:$A$10,A2), "Best","")</f>
        <v/>
      </c>
      <c r="I2" t="s">
        <v>43</v>
      </c>
      <c r="J2" s="7">
        <f>SUMIFS($F$2:$F$10, $A$2:$A$10, I2,$G$2:$G$10,"Best")</f>
        <v>708.69921875</v>
      </c>
      <c r="K2" s="7">
        <f>'1st Division'!L15</f>
        <v>708.69921875</v>
      </c>
    </row>
    <row r="3" spans="1:11" x14ac:dyDescent="0.3">
      <c r="A3" t="s">
        <v>43</v>
      </c>
      <c r="B3" t="s">
        <v>47</v>
      </c>
      <c r="C3" s="7">
        <f>'1st Division'!I12</f>
        <v>94.485714285714337</v>
      </c>
      <c r="D3" s="9">
        <f>'1st Division'!J12</f>
        <v>0.13127584592867189</v>
      </c>
      <c r="E3" s="7">
        <f>'1st Division'!H12</f>
        <v>41.314285714285724</v>
      </c>
      <c r="F3" s="7">
        <f>'1st Division'!G14</f>
        <v>696.09999999999991</v>
      </c>
      <c r="G3" t="str">
        <f t="shared" ref="G3:G10" si="0">IF(C3=_xlfn.MINIFS($C$2:$C$10, $A$2:$A$10,A3), "Best","")</f>
        <v/>
      </c>
      <c r="I3" t="s">
        <v>44</v>
      </c>
      <c r="J3" s="7">
        <f t="shared" ref="J3:J4" si="1">SUMIFS($F$2:$F$10, $A$2:$A$10, I3,$G$2:$G$10,"Best")</f>
        <v>717.51953125</v>
      </c>
      <c r="K3" s="7">
        <f>'2nd Division'!L15</f>
        <v>717.51953125</v>
      </c>
    </row>
    <row r="4" spans="1:11" x14ac:dyDescent="0.3">
      <c r="A4" t="s">
        <v>43</v>
      </c>
      <c r="B4" t="s">
        <v>20</v>
      </c>
      <c r="C4" s="7">
        <f>'1st Division'!N12</f>
        <v>92.739955357142861</v>
      </c>
      <c r="D4" s="9">
        <f>'1st Division'!O12</f>
        <v>0.1276057944411462</v>
      </c>
      <c r="E4" s="7">
        <f>'1st Division'!M12</f>
        <v>54.342633928571431</v>
      </c>
      <c r="F4" s="7">
        <f>'1st Division'!L14</f>
        <v>708.69921875</v>
      </c>
      <c r="G4" t="str">
        <f t="shared" si="0"/>
        <v>Best</v>
      </c>
      <c r="I4" t="s">
        <v>45</v>
      </c>
      <c r="J4" s="7">
        <f t="shared" si="1"/>
        <v>642</v>
      </c>
      <c r="K4" s="7">
        <f>'3rd Division'!G15</f>
        <v>638.70000000000005</v>
      </c>
    </row>
    <row r="5" spans="1:11" x14ac:dyDescent="0.3">
      <c r="A5" t="s">
        <v>44</v>
      </c>
      <c r="B5" t="s">
        <v>46</v>
      </c>
      <c r="C5" s="7">
        <f>'2nd Division'!E12</f>
        <v>96.714285714285708</v>
      </c>
      <c r="D5" s="9">
        <f>'2nd Division'!F12</f>
        <v>0.13747306570920725</v>
      </c>
      <c r="E5" s="7">
        <f>'2nd Division'!D12</f>
        <v>50.238095238095248</v>
      </c>
      <c r="F5" s="7">
        <f>'2nd Division'!C14</f>
        <v>701.33333333333337</v>
      </c>
      <c r="G5" t="str">
        <f t="shared" si="0"/>
        <v/>
      </c>
    </row>
    <row r="6" spans="1:11" x14ac:dyDescent="0.3">
      <c r="A6" t="s">
        <v>44</v>
      </c>
      <c r="B6" t="s">
        <v>47</v>
      </c>
      <c r="C6" s="7">
        <f>'2nd Division'!I12</f>
        <v>87.05714285714285</v>
      </c>
      <c r="D6" s="9">
        <f>'2nd Division'!J12</f>
        <v>0.12401168469599712</v>
      </c>
      <c r="E6" s="7">
        <f>'2nd Division'!H12</f>
        <v>38.257142857142831</v>
      </c>
      <c r="F6" s="7">
        <f>'2nd Division'!G14</f>
        <v>717.1</v>
      </c>
      <c r="G6" t="str">
        <f t="shared" si="0"/>
        <v/>
      </c>
    </row>
    <row r="7" spans="1:11" x14ac:dyDescent="0.3">
      <c r="A7" t="s">
        <v>44</v>
      </c>
      <c r="B7" t="s">
        <v>20</v>
      </c>
      <c r="C7" s="7">
        <f>'2nd Division'!N12</f>
        <v>81.371651785714292</v>
      </c>
      <c r="D7" s="9">
        <f>'2nd Division'!O12</f>
        <v>0.11437562446013705</v>
      </c>
      <c r="E7" s="7">
        <f>'2nd Division'!M12</f>
        <v>46.862723214285715</v>
      </c>
      <c r="F7" s="7">
        <f>'2nd Division'!L14</f>
        <v>717.51953125</v>
      </c>
      <c r="G7" t="str">
        <f t="shared" si="0"/>
        <v>Best</v>
      </c>
    </row>
    <row r="8" spans="1:11" x14ac:dyDescent="0.3">
      <c r="A8" t="s">
        <v>45</v>
      </c>
      <c r="B8" t="s">
        <v>46</v>
      </c>
      <c r="C8" s="7">
        <f>'3rd Division'!E12</f>
        <v>102.14285714285714</v>
      </c>
      <c r="D8" s="9">
        <f>'3rd Division'!F12</f>
        <v>0.14445253155955218</v>
      </c>
      <c r="E8" s="7">
        <f>'3rd Division'!D12</f>
        <v>32.80952380952381</v>
      </c>
      <c r="F8" s="7">
        <f>'3rd Division'!C14</f>
        <v>666</v>
      </c>
      <c r="G8" t="str">
        <f t="shared" si="0"/>
        <v/>
      </c>
    </row>
    <row r="9" spans="1:11" x14ac:dyDescent="0.3">
      <c r="A9" t="s">
        <v>45</v>
      </c>
      <c r="B9" t="s">
        <v>47</v>
      </c>
      <c r="C9" s="7">
        <f>'3rd Division'!I12</f>
        <v>86.685714285714297</v>
      </c>
      <c r="D9" s="9">
        <f>'3rd Division'!J12</f>
        <v>0.12451439203129257</v>
      </c>
      <c r="E9" s="7">
        <f>'3rd Division'!H12</f>
        <v>17.685714285714294</v>
      </c>
      <c r="F9" s="7">
        <f>'3rd Division'!G14</f>
        <v>642</v>
      </c>
      <c r="G9" t="str">
        <f t="shared" si="0"/>
        <v>Best</v>
      </c>
    </row>
    <row r="10" spans="1:11" x14ac:dyDescent="0.3">
      <c r="A10" t="s">
        <v>45</v>
      </c>
      <c r="B10" t="s">
        <v>20</v>
      </c>
      <c r="C10" s="7">
        <f>'3rd Division'!N12</f>
        <v>93.09765625</v>
      </c>
      <c r="D10" s="9">
        <f>'3rd Division'!O12</f>
        <v>0.13311120956582961</v>
      </c>
      <c r="E10" s="7">
        <f>'3rd Division'!M12</f>
        <v>32.91796875</v>
      </c>
      <c r="F10" s="7">
        <f>'3rd Division'!L14</f>
        <v>643.462890625</v>
      </c>
      <c r="G10" t="str">
        <f t="shared" si="0"/>
        <v/>
      </c>
    </row>
  </sheetData>
  <phoneticPr fontId="9" type="noConversion"/>
  <conditionalFormatting sqref="A2:G10">
    <cfRule type="expression" dxfId="0" priority="1">
      <formula>$G2="Best"</formula>
    </cfRule>
  </conditionalFormatting>
  <pageMargins left="0.7" right="0.7" top="0.75" bottom="0.75" header="0.3" footer="0.3"/>
  <pageSetup orientation="portrait" horizontalDpi="90" verticalDpi="90"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55753-0AD8-4011-ACEA-71D0678E46DF}">
  <dimension ref="A1:R23"/>
  <sheetViews>
    <sheetView workbookViewId="0">
      <selection activeCell="E18" sqref="E18"/>
    </sheetView>
  </sheetViews>
  <sheetFormatPr defaultColWidth="5" defaultRowHeight="15.6" x14ac:dyDescent="0.3"/>
  <cols>
    <col min="1" max="1" width="6.59765625" bestFit="1" customWidth="1"/>
    <col min="2" max="2" width="11.19921875" bestFit="1" customWidth="1"/>
    <col min="3" max="3" width="19.796875" bestFit="1" customWidth="1"/>
    <col min="4" max="4" width="18.296875" bestFit="1" customWidth="1"/>
    <col min="5" max="6" width="17.19921875" bestFit="1" customWidth="1"/>
    <col min="7" max="7" width="21.3984375" bestFit="1" customWidth="1"/>
    <col min="8" max="8" width="17.59765625" bestFit="1" customWidth="1"/>
    <col min="9" max="9" width="25.8984375" bestFit="1" customWidth="1"/>
    <col min="10" max="10" width="15.296875" bestFit="1" customWidth="1"/>
    <col min="11" max="11" width="13" bestFit="1" customWidth="1"/>
    <col min="12" max="12" width="29.5" bestFit="1" customWidth="1"/>
    <col min="13" max="13" width="16.796875" bestFit="1" customWidth="1"/>
    <col min="14" max="14" width="23.796875" bestFit="1" customWidth="1"/>
    <col min="15" max="15" width="29.59765625" bestFit="1" customWidth="1"/>
    <col min="16" max="16" width="24.59765625" bestFit="1" customWidth="1"/>
    <col min="17" max="17" width="35.296875" bestFit="1" customWidth="1"/>
    <col min="18" max="18" width="18.3984375" bestFit="1" customWidth="1"/>
  </cols>
  <sheetData>
    <row r="1" spans="1:18" x14ac:dyDescent="0.3">
      <c r="A1" t="s">
        <v>12</v>
      </c>
      <c r="B1" t="s">
        <v>37</v>
      </c>
      <c r="C1" t="s">
        <v>53</v>
      </c>
      <c r="D1" t="s">
        <v>54</v>
      </c>
      <c r="E1" t="s">
        <v>55</v>
      </c>
      <c r="F1" t="s">
        <v>56</v>
      </c>
      <c r="G1" t="s">
        <v>57</v>
      </c>
      <c r="H1" t="s">
        <v>52</v>
      </c>
      <c r="I1" t="s">
        <v>58</v>
      </c>
      <c r="J1" t="s">
        <v>59</v>
      </c>
      <c r="K1" t="s">
        <v>60</v>
      </c>
      <c r="L1" t="s">
        <v>61</v>
      </c>
      <c r="M1" t="s">
        <v>63</v>
      </c>
      <c r="N1" t="s">
        <v>64</v>
      </c>
      <c r="O1" t="s">
        <v>65</v>
      </c>
      <c r="P1" t="s">
        <v>70</v>
      </c>
      <c r="Q1" t="s">
        <v>71</v>
      </c>
      <c r="R1" t="s">
        <v>72</v>
      </c>
    </row>
    <row r="2" spans="1:18" x14ac:dyDescent="0.3">
      <c r="A2">
        <v>2022</v>
      </c>
      <c r="B2" t="s">
        <v>0</v>
      </c>
      <c r="C2">
        <f>F2-D2+E2</f>
        <v>200</v>
      </c>
      <c r="D2" s="4">
        <v>745</v>
      </c>
      <c r="E2">
        <f>SUMIF(Table1[Medal Type],B2,INDEX(Table1[],0,MATCH(A2&amp;"",Table1[#Headers],0)))</f>
        <v>770</v>
      </c>
      <c r="F2" s="4">
        <v>175</v>
      </c>
    </row>
    <row r="3" spans="1:18" x14ac:dyDescent="0.3">
      <c r="A3">
        <v>2023</v>
      </c>
      <c r="B3" t="s">
        <v>0</v>
      </c>
      <c r="C3" s="16">
        <f>F2</f>
        <v>175</v>
      </c>
      <c r="D3" s="4">
        <v>639</v>
      </c>
      <c r="E3">
        <f>SUMIF(Table1[Medal Type],B3,INDEX(Table1[],0,MATCH(A3&amp;"",Table1[#Headers],0)))</f>
        <v>624</v>
      </c>
      <c r="F3" s="4">
        <v>190</v>
      </c>
      <c r="G3" s="6">
        <f>F3-(C3+D3-E3)</f>
        <v>0</v>
      </c>
    </row>
    <row r="4" spans="1:18" x14ac:dyDescent="0.3">
      <c r="A4">
        <v>2024</v>
      </c>
      <c r="B4" t="s">
        <v>0</v>
      </c>
      <c r="C4" s="16">
        <f t="shared" ref="C4:C6" si="0">F3</f>
        <v>190</v>
      </c>
      <c r="D4" s="4">
        <v>686</v>
      </c>
      <c r="E4">
        <f>SUMIF(Table1[Medal Type],B4,INDEX(Table1[],0,MATCH(A4&amp;"",Table1[#Headers],0)))</f>
        <v>666</v>
      </c>
      <c r="F4" s="4">
        <v>210</v>
      </c>
      <c r="G4" s="6">
        <f t="shared" ref="G4:G17" si="1">F4-(C4+D4-E4)</f>
        <v>0</v>
      </c>
    </row>
    <row r="5" spans="1:18" x14ac:dyDescent="0.3">
      <c r="A5">
        <v>2025</v>
      </c>
      <c r="B5" t="s">
        <v>0</v>
      </c>
      <c r="C5" s="16">
        <f t="shared" si="0"/>
        <v>210</v>
      </c>
      <c r="D5" s="4">
        <v>758</v>
      </c>
      <c r="E5">
        <f>SUMIF(Table1[Medal Type],B5,INDEX(Table1[],0,MATCH(A5&amp;"",Table1[#Headers],0)))</f>
        <v>743</v>
      </c>
      <c r="F5" s="4">
        <v>225</v>
      </c>
      <c r="G5" s="6">
        <f t="shared" si="1"/>
        <v>0</v>
      </c>
    </row>
    <row r="6" spans="1:18" x14ac:dyDescent="0.3">
      <c r="A6">
        <v>2026</v>
      </c>
      <c r="B6" s="17" t="s">
        <v>0</v>
      </c>
      <c r="C6" s="16">
        <f t="shared" si="0"/>
        <v>225</v>
      </c>
      <c r="D6" s="4">
        <v>684</v>
      </c>
      <c r="E6" t="str">
        <f>IF(ISNUMBER('1st Division'!B14),SUMIF(Table1[Medal Type],B6,INDEX(Table1[],0,MATCH(A6&amp;"",Table1[#Headers],0))),"")</f>
        <v/>
      </c>
      <c r="G6" s="6" t="str">
        <f>IF(AND(ISNUMBER(E6),ISNUMBER(F6)),F6-(C6+D6-E6),"")</f>
        <v/>
      </c>
      <c r="H6" s="27">
        <f>'Model Comparison'!J2</f>
        <v>708.69921875</v>
      </c>
      <c r="I6" s="27">
        <f>C6+D6-ROUNDUP(H6,0)</f>
        <v>200</v>
      </c>
      <c r="J6" s="7">
        <f>SUMIFS('Model Comparison'!$C$2:$C$10,'Model Comparison'!$A$2:$A$10,SUBSTITUTE(B6," Division",""),'Model Comparison'!$G$2:$G$10,"Best")</f>
        <v>92.739955357142861</v>
      </c>
      <c r="K6" s="6">
        <f>ROUNDUP(J6*2,0)</f>
        <v>186</v>
      </c>
      <c r="L6" s="6">
        <f>I6-K6</f>
        <v>14</v>
      </c>
      <c r="N6" s="6"/>
      <c r="O6" s="6"/>
    </row>
    <row r="7" spans="1:18" x14ac:dyDescent="0.3">
      <c r="A7">
        <v>2027</v>
      </c>
      <c r="B7" s="17" t="s">
        <v>0</v>
      </c>
      <c r="C7" s="16">
        <f>IF(ISNUMBER(F6),F6,I6)</f>
        <v>200</v>
      </c>
      <c r="D7" s="4"/>
      <c r="F7" s="4"/>
      <c r="G7" s="6"/>
      <c r="H7" s="7">
        <f>'Model Comparison'!K2</f>
        <v>708.69921875</v>
      </c>
      <c r="I7" s="6"/>
      <c r="J7" s="7">
        <f>J6</f>
        <v>92.739955357142861</v>
      </c>
      <c r="K7" s="6">
        <f>ROUNDUP(tblInventory[[#This Row],[Historical MAE]]*2,0)</f>
        <v>186</v>
      </c>
      <c r="L7" s="6">
        <f>tblInventory[[#This Row],[Projected Ending After Purchase]]-tblInventory[[#This Row],[Safety Stock]]</f>
        <v>0</v>
      </c>
      <c r="M7" s="6">
        <f>ROUNDUP(tblInventory[[#This Row],[Forecast Demand]],0)+tblInventory[[#This Row],[Safety Stock]]</f>
        <v>895</v>
      </c>
      <c r="N7" s="6">
        <f>MAX(0,tblInventory[[#This Row],[Target Inventory]]-ROUNDDOWN(tblInventory[[#This Row],[Beginning Inventory]],0))</f>
        <v>695</v>
      </c>
      <c r="O7" s="6">
        <f>tblInventory[[#This Row],[Beginning Inventory]]+tblInventory[[#This Row],[Recommended Purchase]]-ROUNDUP(tblInventory[[#This Row],[Forecast Demand]],0)</f>
        <v>186</v>
      </c>
      <c r="P7" s="6">
        <f>MAX(K7,ROUNDUP(MAX('1st Division'!$P$5:$P$11),0))</f>
        <v>201</v>
      </c>
      <c r="Q7" s="6">
        <f>MAX(0,ROUNDUP(H7,0)+P7-ROUNDDOWN(C7,0))</f>
        <v>710</v>
      </c>
      <c r="R7" s="6">
        <f>tblInventory[[#This Row],[Conservative Recommended Purchase]]-tblInventory[[#This Row],[Recommended Purchase]]</f>
        <v>15</v>
      </c>
    </row>
    <row r="8" spans="1:18" x14ac:dyDescent="0.3">
      <c r="A8">
        <v>2022</v>
      </c>
      <c r="B8" t="s">
        <v>1</v>
      </c>
      <c r="C8">
        <f>F8-D8+E8</f>
        <v>180</v>
      </c>
      <c r="D8" s="4">
        <v>673</v>
      </c>
      <c r="E8">
        <f>SUMIF(Table1[Medal Type],B8,INDEX(Table1[],0,MATCH(A8&amp;"",Table1[#Headers],0)))</f>
        <v>693</v>
      </c>
      <c r="F8" s="4">
        <v>160</v>
      </c>
      <c r="G8" s="6">
        <f t="shared" si="1"/>
        <v>0</v>
      </c>
    </row>
    <row r="9" spans="1:18" x14ac:dyDescent="0.3">
      <c r="A9">
        <v>2023</v>
      </c>
      <c r="B9" t="s">
        <v>1</v>
      </c>
      <c r="C9" s="4">
        <f>F8</f>
        <v>160</v>
      </c>
      <c r="D9" s="4">
        <v>656</v>
      </c>
      <c r="E9">
        <f>SUMIF(Table1[Medal Type],B9,INDEX(Table1[],0,MATCH(A9&amp;"",Table1[#Headers],0)))</f>
        <v>641</v>
      </c>
      <c r="F9" s="4">
        <v>175</v>
      </c>
      <c r="G9" s="6">
        <f>F9-(C9+D9-E9)</f>
        <v>0</v>
      </c>
    </row>
    <row r="10" spans="1:18" x14ac:dyDescent="0.3">
      <c r="A10">
        <v>2024</v>
      </c>
      <c r="B10" t="s">
        <v>1</v>
      </c>
      <c r="C10" s="4">
        <f t="shared" ref="C10:C12" si="2">F9</f>
        <v>175</v>
      </c>
      <c r="D10" s="4">
        <v>723</v>
      </c>
      <c r="E10">
        <f>SUMIF(Table1[Medal Type],B10,INDEX(Table1[],0,MATCH(A10&amp;"",Table1[#Headers],0)))</f>
        <v>713</v>
      </c>
      <c r="F10" s="4">
        <v>185</v>
      </c>
      <c r="G10" s="6">
        <f t="shared" si="1"/>
        <v>0</v>
      </c>
    </row>
    <row r="11" spans="1:18" x14ac:dyDescent="0.3">
      <c r="A11">
        <v>2025</v>
      </c>
      <c r="B11" t="s">
        <v>1</v>
      </c>
      <c r="C11" s="4">
        <f t="shared" si="2"/>
        <v>185</v>
      </c>
      <c r="D11" s="4">
        <v>760</v>
      </c>
      <c r="E11">
        <f>SUMIF(Table1[Medal Type],B11,INDEX(Table1[],0,MATCH(A11&amp;"",Table1[#Headers],0)))</f>
        <v>750</v>
      </c>
      <c r="F11" s="4">
        <v>195</v>
      </c>
      <c r="G11" s="6">
        <f t="shared" si="1"/>
        <v>0</v>
      </c>
    </row>
    <row r="12" spans="1:18" x14ac:dyDescent="0.3">
      <c r="A12">
        <v>2026</v>
      </c>
      <c r="B12" t="s">
        <v>1</v>
      </c>
      <c r="C12" s="4">
        <f t="shared" si="2"/>
        <v>195</v>
      </c>
      <c r="D12" s="4">
        <v>703</v>
      </c>
      <c r="E12" t="str">
        <f>IF(ISNUMBER('2nd Division'!B14),SUMIF(Table1[Medal Type],B12,INDEX(Table1[],0,MATCH(A12&amp;"",Table1[#Headers],0))),"")</f>
        <v/>
      </c>
      <c r="G12" s="6" t="str">
        <f>IF(AND(ISNUMBER(E12),ISNUMBER(F12)),F12-(C12+D12-E12),"")</f>
        <v/>
      </c>
      <c r="H12" s="27">
        <f>'Model Comparison'!J3</f>
        <v>717.51953125</v>
      </c>
      <c r="I12" s="27">
        <f>C12+D12-ROUNDUP(H12,0)</f>
        <v>180</v>
      </c>
      <c r="J12" s="7">
        <f>SUMIFS('Model Comparison'!$C$2:$C$10,'Model Comparison'!$A$2:$A$10,SUBSTITUTE(B12," Division",""),'Model Comparison'!$G$2:$G$10,"Best")</f>
        <v>81.371651785714292</v>
      </c>
      <c r="K12" s="6">
        <f>ROUNDUP(J12*2,0)</f>
        <v>163</v>
      </c>
      <c r="L12" s="6">
        <f>I12-K12</f>
        <v>17</v>
      </c>
      <c r="N12" s="6"/>
      <c r="O12" s="6"/>
    </row>
    <row r="13" spans="1:18" x14ac:dyDescent="0.3">
      <c r="A13">
        <v>2027</v>
      </c>
      <c r="B13" t="s">
        <v>1</v>
      </c>
      <c r="C13" s="16">
        <f>IF(ISNUMBER(F12),F12,I12)</f>
        <v>180</v>
      </c>
      <c r="D13" s="4"/>
      <c r="F13" s="4"/>
      <c r="G13" s="6"/>
      <c r="H13" s="6">
        <f>'Model Comparison'!K3</f>
        <v>717.51953125</v>
      </c>
      <c r="I13" s="6"/>
      <c r="J13" s="7">
        <f>J12</f>
        <v>81.371651785714292</v>
      </c>
      <c r="K13" s="6">
        <f>ROUNDUP(tblInventory[[#This Row],[Historical MAE]]*2,0)</f>
        <v>163</v>
      </c>
      <c r="L13" s="6">
        <f>tblInventory[[#This Row],[Projected Ending After Purchase]]-tblInventory[[#This Row],[Safety Stock]]</f>
        <v>0</v>
      </c>
      <c r="M13" s="6">
        <f>ROUNDUP(tblInventory[[#This Row],[Forecast Demand]],0)+tblInventory[[#This Row],[Safety Stock]]</f>
        <v>881</v>
      </c>
      <c r="N13" s="6">
        <f>MAX(0,tblInventory[[#This Row],[Target Inventory]]-ROUNDDOWN(tblInventory[[#This Row],[Beginning Inventory]],0))</f>
        <v>701</v>
      </c>
      <c r="O13" s="6">
        <f>tblInventory[[#This Row],[Beginning Inventory]]+tblInventory[[#This Row],[Recommended Purchase]]-ROUNDUP(tblInventory[[#This Row],[Forecast Demand]],0)</f>
        <v>163</v>
      </c>
      <c r="P13" s="6">
        <f>MAX(K13,ROUNDUP(MAX('2nd Division'!$P$5:$P$11),0))</f>
        <v>219</v>
      </c>
      <c r="Q13" s="6">
        <f>MAX(0,ROUNDUP(H13,0)+P13-ROUNDDOWN(C13,0))</f>
        <v>757</v>
      </c>
      <c r="R13" s="6">
        <f>tblInventory[[#This Row],[Conservative Recommended Purchase]]-tblInventory[[#This Row],[Recommended Purchase]]</f>
        <v>56</v>
      </c>
    </row>
    <row r="14" spans="1:18" x14ac:dyDescent="0.3">
      <c r="A14">
        <v>2022</v>
      </c>
      <c r="B14" t="s">
        <v>2</v>
      </c>
      <c r="C14">
        <f>F14-D14+E14</f>
        <v>150</v>
      </c>
      <c r="D14" s="4">
        <v>727</v>
      </c>
      <c r="E14">
        <f>SUMIF(Table1[Medal Type],B14,INDEX(Table1[],0,MATCH(A14&amp;"",Table1[#Headers],0)))</f>
        <v>737</v>
      </c>
      <c r="F14" s="4">
        <v>140</v>
      </c>
      <c r="G14" s="6">
        <f t="shared" si="1"/>
        <v>0</v>
      </c>
    </row>
    <row r="15" spans="1:18" x14ac:dyDescent="0.3">
      <c r="A15">
        <v>2023</v>
      </c>
      <c r="B15" t="s">
        <v>2</v>
      </c>
      <c r="C15" s="4">
        <f>F14</f>
        <v>140</v>
      </c>
      <c r="D15" s="4">
        <v>703</v>
      </c>
      <c r="E15">
        <f>SUMIF(Table1[Medal Type],B15,INDEX(Table1[],0,MATCH(A15&amp;"",Table1[#Headers],0)))</f>
        <v>688</v>
      </c>
      <c r="F15" s="4">
        <v>155</v>
      </c>
      <c r="G15" s="6">
        <f t="shared" si="1"/>
        <v>0</v>
      </c>
    </row>
    <row r="16" spans="1:18" x14ac:dyDescent="0.3">
      <c r="A16">
        <v>2024</v>
      </c>
      <c r="B16" t="s">
        <v>2</v>
      </c>
      <c r="C16" s="4">
        <f t="shared" ref="C16:C18" si="3">F15</f>
        <v>155</v>
      </c>
      <c r="D16" s="4">
        <v>768</v>
      </c>
      <c r="E16">
        <f>SUMIF(Table1[Medal Type],B16,INDEX(Table1[],0,MATCH(A16&amp;"",Table1[#Headers],0)))</f>
        <v>753</v>
      </c>
      <c r="F16" s="4">
        <v>170</v>
      </c>
      <c r="G16" s="6">
        <f t="shared" si="1"/>
        <v>0</v>
      </c>
    </row>
    <row r="17" spans="1:18" x14ac:dyDescent="0.3">
      <c r="A17">
        <v>2025</v>
      </c>
      <c r="B17" t="s">
        <v>2</v>
      </c>
      <c r="C17" s="4">
        <f t="shared" si="3"/>
        <v>170</v>
      </c>
      <c r="D17" s="4">
        <v>572</v>
      </c>
      <c r="E17">
        <f>SUMIF(Table1[Medal Type],B17,INDEX(Table1[],0,MATCH(A17&amp;"",Table1[#Headers],0)))</f>
        <v>557</v>
      </c>
      <c r="F17" s="4">
        <v>185</v>
      </c>
      <c r="G17" s="6">
        <f t="shared" si="1"/>
        <v>0</v>
      </c>
    </row>
    <row r="18" spans="1:18" x14ac:dyDescent="0.3">
      <c r="A18">
        <v>2026</v>
      </c>
      <c r="B18" t="s">
        <v>2</v>
      </c>
      <c r="C18" s="4">
        <f t="shared" si="3"/>
        <v>185</v>
      </c>
      <c r="D18" s="4">
        <v>627</v>
      </c>
      <c r="E18" t="str">
        <f>IF(ISNUMBER('3rd Division'!B14),SUMIF(Table1[Medal Type],B18,INDEX(Table1[],0,MATCH(A18&amp;"",Table1[#Headers],0))),"")</f>
        <v/>
      </c>
      <c r="G18" s="6" t="str">
        <f>IF(AND(ISNUMBER(E18),ISNUMBER(F18)),F18-(C18+D18-E18),"")</f>
        <v/>
      </c>
      <c r="H18" s="27">
        <f>'Model Comparison'!J4</f>
        <v>642</v>
      </c>
      <c r="I18" s="27">
        <f>C18+D18-ROUNDUP(H18,0)</f>
        <v>170</v>
      </c>
      <c r="J18" s="7">
        <f>SUMIFS('Model Comparison'!$C$2:$C$10,'Model Comparison'!$A$2:$A$10,SUBSTITUTE(B18," Division",""),'Model Comparison'!$G$2:$G$10,"Best")</f>
        <v>86.685714285714297</v>
      </c>
      <c r="K18" s="6">
        <f>ROUNDUP(J18*2,0)</f>
        <v>174</v>
      </c>
      <c r="L18" s="6">
        <f>I18-K18</f>
        <v>-4</v>
      </c>
      <c r="N18" s="6"/>
      <c r="O18" s="6"/>
    </row>
    <row r="19" spans="1:18" x14ac:dyDescent="0.3">
      <c r="A19">
        <v>2027</v>
      </c>
      <c r="B19" t="s">
        <v>2</v>
      </c>
      <c r="C19" s="16">
        <f>IF(ISNUMBER(F18),F18,I18)</f>
        <v>170</v>
      </c>
      <c r="D19" s="4"/>
      <c r="F19" s="4"/>
      <c r="G19" s="6"/>
      <c r="H19" s="6">
        <f>'Model Comparison'!K4</f>
        <v>638.70000000000005</v>
      </c>
      <c r="J19" s="7">
        <f>J18</f>
        <v>86.685714285714297</v>
      </c>
      <c r="K19" s="6">
        <f>ROUNDUP(tblInventory[[#This Row],[Historical MAE]]*2,0)</f>
        <v>174</v>
      </c>
      <c r="L19" s="6">
        <f>tblInventory[[#This Row],[Projected Ending After Purchase]]-tblInventory[[#This Row],[Safety Stock]]</f>
        <v>0</v>
      </c>
      <c r="M19" s="6">
        <f>ROUNDUP(tblInventory[[#This Row],[Forecast Demand]],0)+tblInventory[[#This Row],[Safety Stock]]</f>
        <v>813</v>
      </c>
      <c r="N19" s="6">
        <f>MAX(0,tblInventory[[#This Row],[Target Inventory]]-ROUNDDOWN(tblInventory[[#This Row],[Beginning Inventory]],0))</f>
        <v>643</v>
      </c>
      <c r="O19" s="6">
        <f>tblInventory[[#This Row],[Beginning Inventory]]+tblInventory[[#This Row],[Recommended Purchase]]-ROUNDUP(tblInventory[[#This Row],[Forecast Demand]],0)</f>
        <v>174</v>
      </c>
      <c r="P19" s="6">
        <f>MAX(K19,ROUNDUP(MAX('3rd Division'!$P$5:$P$11),0))</f>
        <v>277</v>
      </c>
      <c r="Q19" s="6">
        <f>MAX(0,ROUNDUP(H19,0)+P19-ROUNDDOWN(C19,0))</f>
        <v>746</v>
      </c>
      <c r="R19" s="6">
        <f>tblInventory[[#This Row],[Conservative Recommended Purchase]]-tblInventory[[#This Row],[Recommended Purchase]]</f>
        <v>103</v>
      </c>
    </row>
    <row r="20" spans="1:18" x14ac:dyDescent="0.3">
      <c r="Q20" s="6"/>
    </row>
    <row r="21" spans="1:18" x14ac:dyDescent="0.3">
      <c r="E21" s="28"/>
    </row>
    <row r="23" spans="1:18" x14ac:dyDescent="0.3">
      <c r="A23" s="57" t="s">
        <v>105</v>
      </c>
      <c r="B23" s="57"/>
      <c r="C23" s="57"/>
      <c r="D23" s="57"/>
      <c r="E23" s="57"/>
      <c r="F23" s="57"/>
      <c r="G23" s="57"/>
      <c r="H23" s="57"/>
    </row>
  </sheetData>
  <mergeCells count="1">
    <mergeCell ref="A23:H23"/>
  </mergeCells>
  <phoneticPr fontId="9" type="noConversion"/>
  <pageMargins left="0.7" right="0.7" top="0.75" bottom="0.75" header="0.3" footer="0.3"/>
  <pageSetup orientation="portrait" horizontalDpi="90" verticalDpi="9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AF813-2F9C-41EC-B0B5-B8A3CBD617A5}">
  <sheetPr>
    <pageSetUpPr fitToPage="1"/>
  </sheetPr>
  <dimension ref="A1:L62"/>
  <sheetViews>
    <sheetView showGridLines="0" tabSelected="1" view="pageBreakPreview" topLeftCell="A43" zoomScaleNormal="100" zoomScaleSheetLayoutView="100" workbookViewId="0">
      <selection activeCell="A63" sqref="A63"/>
    </sheetView>
  </sheetViews>
  <sheetFormatPr defaultColWidth="7.59765625" defaultRowHeight="15.6" x14ac:dyDescent="0.3"/>
  <cols>
    <col min="1" max="12" width="14.69921875" customWidth="1"/>
  </cols>
  <sheetData>
    <row r="1" spans="1:12" ht="25.05" customHeight="1" x14ac:dyDescent="0.3">
      <c r="A1" s="140" t="s">
        <v>85</v>
      </c>
      <c r="B1" s="140"/>
      <c r="C1" s="140"/>
      <c r="D1" s="140"/>
      <c r="E1" s="140"/>
      <c r="F1" s="140"/>
      <c r="G1" s="140"/>
      <c r="H1" s="140"/>
      <c r="I1" s="140"/>
      <c r="J1" s="140"/>
      <c r="K1" s="140"/>
      <c r="L1" s="140"/>
    </row>
    <row r="2" spans="1:12" ht="25.05" customHeight="1" x14ac:dyDescent="0.3">
      <c r="A2" s="140"/>
      <c r="B2" s="140"/>
      <c r="C2" s="140"/>
      <c r="D2" s="140"/>
      <c r="E2" s="140"/>
      <c r="F2" s="140"/>
      <c r="G2" s="140"/>
      <c r="H2" s="140"/>
      <c r="I2" s="140"/>
      <c r="J2" s="140"/>
      <c r="K2" s="140"/>
      <c r="L2" s="140"/>
    </row>
    <row r="3" spans="1:12" ht="28.05" customHeight="1" x14ac:dyDescent="0.3">
      <c r="A3" s="141" t="s">
        <v>145</v>
      </c>
      <c r="B3" s="141"/>
      <c r="C3" s="141"/>
      <c r="D3" s="141"/>
      <c r="E3" s="141"/>
      <c r="F3" s="141"/>
      <c r="G3" s="141"/>
      <c r="H3" s="141"/>
      <c r="I3" s="141"/>
      <c r="J3" s="141"/>
      <c r="K3" s="141"/>
      <c r="L3" s="141"/>
    </row>
    <row r="4" spans="1:12" ht="12" customHeight="1" x14ac:dyDescent="0.3"/>
    <row r="6" spans="1:12" x14ac:dyDescent="0.3">
      <c r="A6" s="121" t="s">
        <v>86</v>
      </c>
      <c r="B6" s="122"/>
      <c r="C6" s="122"/>
      <c r="D6" s="122"/>
      <c r="E6" s="122"/>
      <c r="F6" s="123"/>
      <c r="G6" s="121" t="s">
        <v>87</v>
      </c>
      <c r="H6" s="122"/>
      <c r="I6" s="122"/>
      <c r="J6" s="122"/>
      <c r="K6" s="122"/>
      <c r="L6" s="123"/>
    </row>
    <row r="7" spans="1:12" x14ac:dyDescent="0.3">
      <c r="A7" s="142">
        <f>'Dashboard Data'!E2</f>
        <v>2039</v>
      </c>
      <c r="B7" s="143"/>
      <c r="C7" s="143"/>
      <c r="D7" s="143"/>
      <c r="E7" s="143"/>
      <c r="F7" s="144"/>
      <c r="G7" s="142">
        <f>'Dashboard Data'!E3</f>
        <v>2213</v>
      </c>
      <c r="H7" s="143"/>
      <c r="I7" s="143"/>
      <c r="J7" s="143"/>
      <c r="K7" s="143"/>
      <c r="L7" s="144"/>
    </row>
    <row r="8" spans="1:12" x14ac:dyDescent="0.3">
      <c r="A8" s="145"/>
      <c r="B8" s="143"/>
      <c r="C8" s="143"/>
      <c r="D8" s="143"/>
      <c r="E8" s="143"/>
      <c r="F8" s="144"/>
      <c r="G8" s="145"/>
      <c r="H8" s="143"/>
      <c r="I8" s="143"/>
      <c r="J8" s="143"/>
      <c r="K8" s="143"/>
      <c r="L8" s="144"/>
    </row>
    <row r="9" spans="1:12" x14ac:dyDescent="0.3">
      <c r="A9" s="145"/>
      <c r="B9" s="143"/>
      <c r="C9" s="143"/>
      <c r="D9" s="143"/>
      <c r="E9" s="143"/>
      <c r="F9" s="144"/>
      <c r="G9" s="145"/>
      <c r="H9" s="143"/>
      <c r="I9" s="143"/>
      <c r="J9" s="143"/>
      <c r="K9" s="143"/>
      <c r="L9" s="144"/>
    </row>
    <row r="10" spans="1:12" x14ac:dyDescent="0.3">
      <c r="A10" s="146" t="s">
        <v>79</v>
      </c>
      <c r="B10" s="147"/>
      <c r="C10" s="147"/>
      <c r="D10" s="147"/>
      <c r="E10" s="147"/>
      <c r="F10" s="148"/>
      <c r="G10" s="146" t="s">
        <v>79</v>
      </c>
      <c r="H10" s="147"/>
      <c r="I10" s="147"/>
      <c r="J10" s="147"/>
      <c r="K10" s="147"/>
      <c r="L10" s="148"/>
    </row>
    <row r="11" spans="1:12" x14ac:dyDescent="0.3">
      <c r="A11" s="20"/>
      <c r="B11" s="21"/>
      <c r="C11" s="21"/>
      <c r="D11" s="21"/>
      <c r="E11" s="21"/>
      <c r="F11" s="22"/>
      <c r="G11" s="20"/>
      <c r="H11" s="21"/>
      <c r="I11" s="21"/>
      <c r="J11" s="21"/>
      <c r="K11" s="21"/>
      <c r="L11" s="22"/>
    </row>
    <row r="12" spans="1:12" ht="21" x14ac:dyDescent="0.3">
      <c r="A12" s="149">
        <f>'Dashboard Data'!F2</f>
        <v>6117</v>
      </c>
      <c r="B12" s="150"/>
      <c r="C12" s="150"/>
      <c r="D12" s="150"/>
      <c r="E12" s="150"/>
      <c r="F12" s="151"/>
      <c r="G12" s="149">
        <f>'Dashboard Data'!F3</f>
        <v>6639</v>
      </c>
      <c r="H12" s="150"/>
      <c r="I12" s="150"/>
      <c r="J12" s="150"/>
      <c r="K12" s="150"/>
      <c r="L12" s="151"/>
    </row>
    <row r="15" spans="1:12" x14ac:dyDescent="0.3">
      <c r="H15" s="121" t="s">
        <v>88</v>
      </c>
      <c r="I15" s="122"/>
      <c r="J15" s="122"/>
      <c r="K15" s="122"/>
      <c r="L15" s="123"/>
    </row>
    <row r="16" spans="1:12" x14ac:dyDescent="0.3">
      <c r="H16" s="124"/>
      <c r="I16" s="125"/>
      <c r="J16" s="125"/>
      <c r="K16" s="125"/>
      <c r="L16" s="126"/>
    </row>
    <row r="17" spans="1:12" x14ac:dyDescent="0.3">
      <c r="H17" s="117" t="s">
        <v>89</v>
      </c>
      <c r="I17" s="118"/>
      <c r="J17" s="118"/>
      <c r="K17" s="118"/>
      <c r="L17" s="119"/>
    </row>
    <row r="18" spans="1:12" x14ac:dyDescent="0.3">
      <c r="H18" s="127">
        <f>'Dashboard Data'!F6</f>
        <v>522</v>
      </c>
      <c r="I18" s="128"/>
      <c r="J18" s="128"/>
      <c r="K18" s="128"/>
      <c r="L18" s="129"/>
    </row>
    <row r="19" spans="1:12" x14ac:dyDescent="0.3">
      <c r="H19" s="130"/>
      <c r="I19" s="128"/>
      <c r="J19" s="128"/>
      <c r="K19" s="128"/>
      <c r="L19" s="129"/>
    </row>
    <row r="20" spans="1:12" x14ac:dyDescent="0.3">
      <c r="H20" s="131"/>
      <c r="I20" s="132"/>
      <c r="J20" s="132"/>
      <c r="K20" s="132"/>
      <c r="L20" s="133"/>
    </row>
    <row r="21" spans="1:12" x14ac:dyDescent="0.3">
      <c r="H21" s="23"/>
      <c r="I21" s="24"/>
      <c r="J21" s="24"/>
      <c r="K21" s="24"/>
      <c r="L21" s="25"/>
    </row>
    <row r="22" spans="1:12" ht="17.399999999999999" x14ac:dyDescent="0.35">
      <c r="H22" s="134" t="s">
        <v>72</v>
      </c>
      <c r="I22" s="135"/>
      <c r="J22" s="135"/>
      <c r="K22" s="136">
        <f>'Dashboard Data'!E5</f>
        <v>174</v>
      </c>
      <c r="L22" s="137"/>
    </row>
    <row r="23" spans="1:12" x14ac:dyDescent="0.3">
      <c r="H23" s="23"/>
      <c r="I23" s="24"/>
      <c r="J23" s="24"/>
      <c r="K23" s="24"/>
      <c r="L23" s="25"/>
    </row>
    <row r="24" spans="1:12" ht="17.399999999999999" x14ac:dyDescent="0.35">
      <c r="H24" s="134" t="s">
        <v>90</v>
      </c>
      <c r="I24" s="135"/>
      <c r="J24" s="135"/>
      <c r="K24" s="138">
        <f>'Dashboard Data'!F7</f>
        <v>8.5335948994605199E-2</v>
      </c>
      <c r="L24" s="139"/>
    </row>
    <row r="25" spans="1:12" x14ac:dyDescent="0.3">
      <c r="H25" s="23"/>
      <c r="I25" s="24"/>
      <c r="J25" s="24"/>
      <c r="K25" s="24"/>
      <c r="L25" s="25"/>
    </row>
    <row r="26" spans="1:12" x14ac:dyDescent="0.3">
      <c r="H26" s="111" t="s">
        <v>91</v>
      </c>
      <c r="I26" s="112"/>
      <c r="J26" s="112"/>
      <c r="K26" s="112"/>
      <c r="L26" s="113"/>
    </row>
    <row r="27" spans="1:12" x14ac:dyDescent="0.3">
      <c r="H27" s="114"/>
      <c r="I27" s="115"/>
      <c r="J27" s="115"/>
      <c r="K27" s="115"/>
      <c r="L27" s="116"/>
    </row>
    <row r="30" spans="1:12" x14ac:dyDescent="0.3">
      <c r="A30" s="91" t="s">
        <v>93</v>
      </c>
      <c r="B30" s="92"/>
      <c r="C30" s="92"/>
      <c r="D30" s="92"/>
      <c r="E30" s="92"/>
      <c r="F30" s="92"/>
      <c r="G30" s="92"/>
      <c r="H30" s="92"/>
      <c r="I30" s="92"/>
      <c r="J30" s="92"/>
      <c r="K30" s="92"/>
      <c r="L30" s="93"/>
    </row>
    <row r="31" spans="1:12" x14ac:dyDescent="0.3">
      <c r="A31" s="94"/>
      <c r="B31" s="95"/>
      <c r="C31" s="95"/>
      <c r="D31" s="95"/>
      <c r="E31" s="95"/>
      <c r="F31" s="95"/>
      <c r="G31" s="95"/>
      <c r="H31" s="95"/>
      <c r="I31" s="95"/>
      <c r="J31" s="95"/>
      <c r="K31" s="95"/>
      <c r="L31" s="96"/>
    </row>
    <row r="32" spans="1:12" x14ac:dyDescent="0.3">
      <c r="A32" s="5"/>
      <c r="B32" s="29"/>
      <c r="C32" s="29"/>
      <c r="D32" s="29"/>
      <c r="E32" s="29"/>
      <c r="F32" s="29"/>
      <c r="G32" s="29"/>
      <c r="H32" s="29"/>
      <c r="I32" s="29"/>
      <c r="J32" s="29"/>
      <c r="K32" s="29"/>
      <c r="L32" s="30"/>
    </row>
    <row r="33" spans="1:12" x14ac:dyDescent="0.3">
      <c r="A33" s="103" t="s">
        <v>37</v>
      </c>
      <c r="B33" s="104"/>
      <c r="C33" s="104"/>
      <c r="D33" s="104"/>
      <c r="E33" s="104" t="s">
        <v>94</v>
      </c>
      <c r="F33" s="104"/>
      <c r="G33" s="104"/>
      <c r="H33" s="104"/>
      <c r="I33" s="104" t="s">
        <v>72</v>
      </c>
      <c r="J33" s="104"/>
      <c r="K33" s="104"/>
      <c r="L33" s="120"/>
    </row>
    <row r="34" spans="1:12" x14ac:dyDescent="0.3">
      <c r="A34" s="107" t="s">
        <v>0</v>
      </c>
      <c r="B34" s="108"/>
      <c r="C34" s="108"/>
      <c r="D34" s="108"/>
      <c r="E34" s="105">
        <f>'Dashboard Data'!O3</f>
        <v>0.7142857142857143</v>
      </c>
      <c r="F34" s="105"/>
      <c r="G34" s="105"/>
      <c r="H34" s="105"/>
      <c r="I34" s="97">
        <f>'Dashboard Data'!P3</f>
        <v>15</v>
      </c>
      <c r="J34" s="98"/>
      <c r="K34" s="98"/>
      <c r="L34" s="99"/>
    </row>
    <row r="35" spans="1:12" x14ac:dyDescent="0.3">
      <c r="A35" s="109" t="s">
        <v>1</v>
      </c>
      <c r="B35" s="110"/>
      <c r="C35" s="110"/>
      <c r="D35" s="110"/>
      <c r="E35" s="106">
        <f>'Dashboard Data'!O4</f>
        <v>0.8571428571428571</v>
      </c>
      <c r="F35" s="106"/>
      <c r="G35" s="106"/>
      <c r="H35" s="106"/>
      <c r="I35" s="100">
        <f>'Dashboard Data'!P4</f>
        <v>56</v>
      </c>
      <c r="J35" s="101"/>
      <c r="K35" s="101"/>
      <c r="L35" s="102"/>
    </row>
    <row r="36" spans="1:12" x14ac:dyDescent="0.3">
      <c r="A36" s="107" t="s">
        <v>2</v>
      </c>
      <c r="B36" s="108"/>
      <c r="C36" s="108"/>
      <c r="D36" s="108"/>
      <c r="E36" s="105">
        <f>'Dashboard Data'!O5</f>
        <v>0.8571428571428571</v>
      </c>
      <c r="F36" s="105"/>
      <c r="G36" s="105"/>
      <c r="H36" s="105"/>
      <c r="I36" s="97">
        <f>'Dashboard Data'!P5</f>
        <v>103</v>
      </c>
      <c r="J36" s="98"/>
      <c r="K36" s="98"/>
      <c r="L36" s="99"/>
    </row>
    <row r="37" spans="1:12" x14ac:dyDescent="0.3">
      <c r="A37" s="5"/>
      <c r="B37" s="29"/>
      <c r="C37" s="29"/>
      <c r="D37" s="29"/>
      <c r="E37" s="29"/>
      <c r="F37" s="29"/>
      <c r="G37" s="29"/>
      <c r="H37" s="29"/>
      <c r="I37" s="29"/>
      <c r="J37" s="29"/>
      <c r="K37" s="29"/>
      <c r="L37" s="30"/>
    </row>
    <row r="38" spans="1:12" x14ac:dyDescent="0.3">
      <c r="A38" s="79" t="s">
        <v>95</v>
      </c>
      <c r="B38" s="80"/>
      <c r="C38" s="80"/>
      <c r="D38" s="80"/>
      <c r="E38" s="80"/>
      <c r="F38" s="80"/>
      <c r="G38" s="80"/>
      <c r="H38" s="80"/>
      <c r="I38" s="80"/>
      <c r="J38" s="80"/>
      <c r="K38" s="80"/>
      <c r="L38" s="81"/>
    </row>
    <row r="39" spans="1:12" x14ac:dyDescent="0.3">
      <c r="A39" s="79"/>
      <c r="B39" s="80"/>
      <c r="C39" s="80"/>
      <c r="D39" s="80"/>
      <c r="E39" s="80"/>
      <c r="F39" s="80"/>
      <c r="G39" s="80"/>
      <c r="H39" s="80"/>
      <c r="I39" s="80"/>
      <c r="J39" s="80"/>
      <c r="K39" s="80"/>
      <c r="L39" s="81"/>
    </row>
    <row r="40" spans="1:12" x14ac:dyDescent="0.3">
      <c r="A40" s="5"/>
      <c r="B40" s="29"/>
      <c r="C40" s="29"/>
      <c r="D40" s="29"/>
      <c r="E40" s="29"/>
      <c r="F40" s="29"/>
      <c r="G40" s="29"/>
      <c r="H40" s="29"/>
      <c r="I40" s="29"/>
      <c r="J40" s="29"/>
      <c r="K40" s="29"/>
      <c r="L40" s="30"/>
    </row>
    <row r="41" spans="1:12" x14ac:dyDescent="0.3">
      <c r="A41" s="82" t="s">
        <v>96</v>
      </c>
      <c r="B41" s="83"/>
      <c r="C41" s="83"/>
      <c r="D41" s="83"/>
      <c r="E41" s="83"/>
      <c r="F41" s="83"/>
      <c r="G41" s="83"/>
      <c r="H41" s="83"/>
      <c r="I41" s="83"/>
      <c r="J41" s="83"/>
      <c r="K41" s="83"/>
      <c r="L41" s="84"/>
    </row>
    <row r="42" spans="1:12" x14ac:dyDescent="0.3">
      <c r="A42" s="82"/>
      <c r="B42" s="83"/>
      <c r="C42" s="83"/>
      <c r="D42" s="83"/>
      <c r="E42" s="83"/>
      <c r="F42" s="83"/>
      <c r="G42" s="83"/>
      <c r="H42" s="83"/>
      <c r="I42" s="83"/>
      <c r="J42" s="83"/>
      <c r="K42" s="83"/>
      <c r="L42" s="84"/>
    </row>
    <row r="43" spans="1:12" x14ac:dyDescent="0.3">
      <c r="A43" s="85" t="str">
        <f>"The baseline forecast recommends purchasing "&amp;
TEXT('Dashboard Data'!E2,"#,##0")&amp;
" medals at an estimated cost of "&amp;
TEXT('Dashboard Data'!F2,"$#,##0.00")&amp;
". The conservative alternative recommends "&amp;
TEXT('Dashboard Data'!E3,"#,##0")&amp;
" medals for approximately "&amp;
TEXT('Dashboard Data'!F6,"$#,##0.00")&amp;
" more, providing additional protection against historical underforecasting across the three divisions."</f>
        <v>The baseline forecast recommends purchasing 2,039 medals at an estimated cost of $6,117.00. The conservative alternative recommends 2,213 medals for approximately $522.00 more, providing additional protection against historical underforecasting across the three divisions.</v>
      </c>
      <c r="B43" s="86"/>
      <c r="C43" s="86"/>
      <c r="D43" s="86"/>
      <c r="E43" s="86"/>
      <c r="F43" s="86"/>
      <c r="G43" s="86"/>
      <c r="H43" s="86"/>
      <c r="I43" s="86"/>
      <c r="J43" s="86"/>
      <c r="K43" s="86"/>
      <c r="L43" s="87"/>
    </row>
    <row r="44" spans="1:12" ht="14.4" customHeight="1" x14ac:dyDescent="0.3">
      <c r="A44" s="85"/>
      <c r="B44" s="86"/>
      <c r="C44" s="86"/>
      <c r="D44" s="86"/>
      <c r="E44" s="86"/>
      <c r="F44" s="86"/>
      <c r="G44" s="86"/>
      <c r="H44" s="86"/>
      <c r="I44" s="86"/>
      <c r="J44" s="86"/>
      <c r="K44" s="86"/>
      <c r="L44" s="87"/>
    </row>
    <row r="45" spans="1:12" ht="4.8" customHeight="1" x14ac:dyDescent="0.3">
      <c r="A45" s="85"/>
      <c r="B45" s="86"/>
      <c r="C45" s="86"/>
      <c r="D45" s="86"/>
      <c r="E45" s="86"/>
      <c r="F45" s="86"/>
      <c r="G45" s="86"/>
      <c r="H45" s="86"/>
      <c r="I45" s="86"/>
      <c r="J45" s="86"/>
      <c r="K45" s="86"/>
      <c r="L45" s="87"/>
    </row>
    <row r="46" spans="1:12" ht="15.6" customHeight="1" x14ac:dyDescent="0.3">
      <c r="A46" s="85"/>
      <c r="B46" s="86"/>
      <c r="C46" s="86"/>
      <c r="D46" s="86"/>
      <c r="E46" s="86"/>
      <c r="F46" s="86"/>
      <c r="G46" s="86"/>
      <c r="H46" s="86"/>
      <c r="I46" s="86"/>
      <c r="J46" s="86"/>
      <c r="K46" s="86"/>
      <c r="L46" s="87"/>
    </row>
    <row r="47" spans="1:12" x14ac:dyDescent="0.3">
      <c r="A47" s="88" t="s">
        <v>147</v>
      </c>
      <c r="B47" s="89"/>
      <c r="C47" s="89"/>
      <c r="D47" s="89"/>
      <c r="E47" s="89"/>
      <c r="F47" s="89"/>
      <c r="G47" s="89"/>
      <c r="H47" s="89"/>
      <c r="I47" s="89"/>
      <c r="J47" s="89"/>
      <c r="K47" s="89"/>
      <c r="L47" s="90"/>
    </row>
    <row r="48" spans="1:12" ht="15.6" customHeight="1" x14ac:dyDescent="0.3">
      <c r="A48" s="61"/>
      <c r="B48" s="62"/>
      <c r="C48" s="62"/>
      <c r="D48" s="62"/>
      <c r="E48" s="62"/>
      <c r="F48" s="62"/>
      <c r="G48" s="62"/>
      <c r="H48" s="62"/>
      <c r="I48" s="62"/>
      <c r="J48" s="62"/>
      <c r="K48" s="62"/>
      <c r="L48" s="63"/>
    </row>
    <row r="50" spans="1:12" x14ac:dyDescent="0.3">
      <c r="A50" s="91" t="s">
        <v>97</v>
      </c>
      <c r="B50" s="92"/>
      <c r="C50" s="92"/>
      <c r="D50" s="92"/>
      <c r="E50" s="92"/>
      <c r="F50" s="92"/>
      <c r="G50" s="92"/>
      <c r="H50" s="92"/>
      <c r="I50" s="92"/>
      <c r="J50" s="92"/>
      <c r="K50" s="92"/>
      <c r="L50" s="93"/>
    </row>
    <row r="51" spans="1:12" x14ac:dyDescent="0.3">
      <c r="A51" s="94"/>
      <c r="B51" s="95"/>
      <c r="C51" s="95"/>
      <c r="D51" s="95"/>
      <c r="E51" s="95"/>
      <c r="F51" s="95"/>
      <c r="G51" s="95"/>
      <c r="H51" s="95"/>
      <c r="I51" s="95"/>
      <c r="J51" s="95"/>
      <c r="K51" s="95"/>
      <c r="L51" s="96"/>
    </row>
    <row r="52" spans="1:12" x14ac:dyDescent="0.3">
      <c r="A52" s="31"/>
      <c r="B52" s="26"/>
      <c r="C52" s="26"/>
      <c r="D52" s="26"/>
      <c r="E52" s="26"/>
      <c r="F52" s="26"/>
      <c r="G52" s="26"/>
      <c r="H52" s="26"/>
      <c r="I52" s="26"/>
      <c r="J52" s="26"/>
      <c r="K52" s="26"/>
      <c r="L52" s="32"/>
    </row>
    <row r="53" spans="1:12" x14ac:dyDescent="0.3">
      <c r="A53" s="77" t="s">
        <v>98</v>
      </c>
      <c r="B53" s="74"/>
      <c r="C53" s="74"/>
      <c r="D53" s="74"/>
      <c r="E53" s="74"/>
      <c r="F53" s="74" t="s">
        <v>101</v>
      </c>
      <c r="G53" s="74"/>
      <c r="H53" s="74"/>
      <c r="I53" s="74"/>
      <c r="J53" s="74"/>
      <c r="K53" s="74"/>
      <c r="L53" s="75"/>
    </row>
    <row r="54" spans="1:12" x14ac:dyDescent="0.3">
      <c r="A54" s="64" t="s">
        <v>99</v>
      </c>
      <c r="B54" s="65"/>
      <c r="C54" s="65"/>
      <c r="D54" s="65"/>
      <c r="E54" s="65"/>
      <c r="F54" s="65" t="s">
        <v>102</v>
      </c>
      <c r="G54" s="65"/>
      <c r="H54" s="65"/>
      <c r="I54" s="65"/>
      <c r="J54" s="65"/>
      <c r="K54" s="65"/>
      <c r="L54" s="70"/>
    </row>
    <row r="55" spans="1:12" x14ac:dyDescent="0.3">
      <c r="A55" s="66" t="s">
        <v>0</v>
      </c>
      <c r="B55" s="67"/>
      <c r="C55" s="67"/>
      <c r="D55" s="67"/>
      <c r="E55" s="67"/>
      <c r="F55" s="67" t="s">
        <v>20</v>
      </c>
      <c r="G55" s="67"/>
      <c r="H55" s="67"/>
      <c r="I55" s="67"/>
      <c r="J55" s="67"/>
      <c r="K55" s="67"/>
      <c r="L55" s="71"/>
    </row>
    <row r="56" spans="1:12" x14ac:dyDescent="0.3">
      <c r="A56" s="78" t="s">
        <v>1</v>
      </c>
      <c r="B56" s="72"/>
      <c r="C56" s="72"/>
      <c r="D56" s="72"/>
      <c r="E56" s="72"/>
      <c r="F56" s="72" t="s">
        <v>20</v>
      </c>
      <c r="G56" s="72"/>
      <c r="H56" s="72"/>
      <c r="I56" s="72"/>
      <c r="J56" s="72"/>
      <c r="K56" s="72"/>
      <c r="L56" s="73"/>
    </row>
    <row r="57" spans="1:12" x14ac:dyDescent="0.3">
      <c r="A57" s="77" t="s">
        <v>2</v>
      </c>
      <c r="B57" s="74"/>
      <c r="C57" s="74"/>
      <c r="D57" s="74"/>
      <c r="E57" s="74"/>
      <c r="F57" s="74" t="s">
        <v>47</v>
      </c>
      <c r="G57" s="74"/>
      <c r="H57" s="74"/>
      <c r="I57" s="74"/>
      <c r="J57" s="74"/>
      <c r="K57" s="74"/>
      <c r="L57" s="75"/>
    </row>
    <row r="58" spans="1:12" x14ac:dyDescent="0.3">
      <c r="A58" s="64" t="s">
        <v>92</v>
      </c>
      <c r="B58" s="65"/>
      <c r="C58" s="65"/>
      <c r="D58" s="65"/>
      <c r="E58" s="65"/>
      <c r="F58" s="65" t="s">
        <v>103</v>
      </c>
      <c r="G58" s="65"/>
      <c r="H58" s="65"/>
      <c r="I58" s="65"/>
      <c r="J58" s="65"/>
      <c r="K58" s="65"/>
      <c r="L58" s="70"/>
    </row>
    <row r="59" spans="1:12" x14ac:dyDescent="0.3">
      <c r="A59" s="66" t="s">
        <v>70</v>
      </c>
      <c r="B59" s="67"/>
      <c r="C59" s="67"/>
      <c r="D59" s="67"/>
      <c r="E59" s="67"/>
      <c r="F59" s="67" t="s">
        <v>104</v>
      </c>
      <c r="G59" s="67"/>
      <c r="H59" s="67"/>
      <c r="I59" s="67"/>
      <c r="J59" s="67"/>
      <c r="K59" s="67"/>
      <c r="L59" s="71"/>
    </row>
    <row r="60" spans="1:12" x14ac:dyDescent="0.3">
      <c r="A60" s="68" t="s">
        <v>100</v>
      </c>
      <c r="B60" s="69"/>
      <c r="C60" s="69"/>
      <c r="D60" s="69"/>
      <c r="E60" s="69"/>
      <c r="F60" s="69" t="s">
        <v>146</v>
      </c>
      <c r="G60" s="69"/>
      <c r="H60" s="69"/>
      <c r="I60" s="69"/>
      <c r="J60" s="69"/>
      <c r="K60" s="69"/>
      <c r="L60" s="76"/>
    </row>
    <row r="61" spans="1:12" x14ac:dyDescent="0.3">
      <c r="A61" s="58" t="s">
        <v>148</v>
      </c>
      <c r="B61" s="59"/>
      <c r="C61" s="59"/>
      <c r="D61" s="59"/>
      <c r="E61" s="59"/>
      <c r="F61" s="59"/>
      <c r="G61" s="59"/>
      <c r="H61" s="59"/>
      <c r="I61" s="59"/>
      <c r="J61" s="59"/>
      <c r="K61" s="59"/>
      <c r="L61" s="60"/>
    </row>
    <row r="62" spans="1:12" x14ac:dyDescent="0.3">
      <c r="A62" s="61"/>
      <c r="B62" s="62"/>
      <c r="C62" s="62"/>
      <c r="D62" s="62"/>
      <c r="E62" s="62"/>
      <c r="F62" s="62"/>
      <c r="G62" s="62"/>
      <c r="H62" s="62"/>
      <c r="I62" s="62"/>
      <c r="J62" s="62"/>
      <c r="K62" s="62"/>
      <c r="L62" s="63"/>
    </row>
  </sheetData>
  <mergeCells count="53">
    <mergeCell ref="A12:F12"/>
    <mergeCell ref="G6:L6"/>
    <mergeCell ref="G7:L9"/>
    <mergeCell ref="G10:L10"/>
    <mergeCell ref="G12:L12"/>
    <mergeCell ref="A1:L2"/>
    <mergeCell ref="A3:L3"/>
    <mergeCell ref="A7:F9"/>
    <mergeCell ref="A6:F6"/>
    <mergeCell ref="A10:F10"/>
    <mergeCell ref="H15:L16"/>
    <mergeCell ref="H18:L20"/>
    <mergeCell ref="H22:J22"/>
    <mergeCell ref="K22:L22"/>
    <mergeCell ref="H24:J24"/>
    <mergeCell ref="K24:L24"/>
    <mergeCell ref="H26:L27"/>
    <mergeCell ref="H17:L17"/>
    <mergeCell ref="E33:H33"/>
    <mergeCell ref="I33:L33"/>
    <mergeCell ref="A30:L31"/>
    <mergeCell ref="I34:L34"/>
    <mergeCell ref="I35:L35"/>
    <mergeCell ref="I36:L36"/>
    <mergeCell ref="A33:D33"/>
    <mergeCell ref="E34:H34"/>
    <mergeCell ref="E35:H35"/>
    <mergeCell ref="A34:D34"/>
    <mergeCell ref="A35:D35"/>
    <mergeCell ref="A36:D36"/>
    <mergeCell ref="E36:H36"/>
    <mergeCell ref="A38:L39"/>
    <mergeCell ref="A41:L42"/>
    <mergeCell ref="A43:L46"/>
    <mergeCell ref="A47:L48"/>
    <mergeCell ref="A50:L51"/>
    <mergeCell ref="A53:E53"/>
    <mergeCell ref="F53:L53"/>
    <mergeCell ref="A54:E54"/>
    <mergeCell ref="A55:E55"/>
    <mergeCell ref="A56:E56"/>
    <mergeCell ref="A61:L62"/>
    <mergeCell ref="A58:E58"/>
    <mergeCell ref="A59:E59"/>
    <mergeCell ref="A60:E60"/>
    <mergeCell ref="F54:L54"/>
    <mergeCell ref="F55:L55"/>
    <mergeCell ref="F56:L56"/>
    <mergeCell ref="F57:L57"/>
    <mergeCell ref="F58:L58"/>
    <mergeCell ref="F59:L59"/>
    <mergeCell ref="F60:L60"/>
    <mergeCell ref="A57:E57"/>
  </mergeCells>
  <printOptions horizontalCentered="1" verticalCentered="1"/>
  <pageMargins left="0.7" right="0.7" top="0.75" bottom="0.75" header="0.3" footer="0.3"/>
  <pageSetup scale="49" orientation="landscape" horizontalDpi="90" verticalDpi="9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8EBAD-EB72-4963-8878-C8C13DD3E15F}">
  <dimension ref="A1:P7"/>
  <sheetViews>
    <sheetView topLeftCell="E1" workbookViewId="0">
      <selection activeCell="M5" sqref="M5"/>
    </sheetView>
  </sheetViews>
  <sheetFormatPr defaultColWidth="8.8984375" defaultRowHeight="15.6" x14ac:dyDescent="0.3"/>
  <cols>
    <col min="1" max="1" width="26.5" bestFit="1" customWidth="1"/>
    <col min="2" max="2" width="7.69921875" bestFit="1" customWidth="1"/>
    <col min="4" max="4" width="23.09765625" bestFit="1" customWidth="1"/>
    <col min="5" max="5" width="17.5" bestFit="1" customWidth="1"/>
    <col min="6" max="6" width="13.59765625" bestFit="1" customWidth="1"/>
    <col min="8" max="8" width="11.19921875" bestFit="1" customWidth="1"/>
    <col min="9" max="9" width="7.8984375" bestFit="1" customWidth="1"/>
    <col min="10" max="10" width="11.69921875" bestFit="1" customWidth="1"/>
    <col min="12" max="12" width="11.19921875" bestFit="1" customWidth="1"/>
    <col min="13" max="13" width="18.59765625" bestFit="1" customWidth="1"/>
    <col min="14" max="14" width="22" bestFit="1" customWidth="1"/>
    <col min="15" max="15" width="17.09765625" bestFit="1" customWidth="1"/>
    <col min="16" max="16" width="16.3984375" bestFit="1" customWidth="1"/>
  </cols>
  <sheetData>
    <row r="1" spans="1:16" x14ac:dyDescent="0.3">
      <c r="A1" t="s">
        <v>73</v>
      </c>
      <c r="B1" t="s">
        <v>74</v>
      </c>
      <c r="D1" t="s">
        <v>78</v>
      </c>
      <c r="E1" t="s">
        <v>79</v>
      </c>
      <c r="F1" t="s">
        <v>80</v>
      </c>
    </row>
    <row r="2" spans="1:16" x14ac:dyDescent="0.3">
      <c r="A2" t="s">
        <v>75</v>
      </c>
      <c r="B2" s="19">
        <v>2.85</v>
      </c>
      <c r="D2" t="s">
        <v>81</v>
      </c>
      <c r="E2" s="6">
        <f>SUM('Inventory Analysis'!N7, 'Inventory Analysis'!N13, 'Inventory Analysis'!N19)</f>
        <v>2039</v>
      </c>
      <c r="F2" s="19">
        <f>E2*'Dashboard Data'!$B$4</f>
        <v>6117</v>
      </c>
      <c r="H2" t="s">
        <v>37</v>
      </c>
      <c r="I2" t="s">
        <v>81</v>
      </c>
      <c r="J2" t="s">
        <v>82</v>
      </c>
      <c r="L2" t="s">
        <v>37</v>
      </c>
      <c r="M2" t="s">
        <v>92</v>
      </c>
      <c r="N2" t="s">
        <v>69</v>
      </c>
      <c r="O2" t="s">
        <v>68</v>
      </c>
      <c r="P2" t="s">
        <v>72</v>
      </c>
    </row>
    <row r="3" spans="1:16" x14ac:dyDescent="0.3">
      <c r="A3" t="s">
        <v>76</v>
      </c>
      <c r="B3" s="19">
        <v>0.15</v>
      </c>
      <c r="D3" t="s">
        <v>82</v>
      </c>
      <c r="E3" s="6">
        <f>SUM('Inventory Analysis'!Q7, 'Inventory Analysis'!Q13, 'Inventory Analysis'!Q19)</f>
        <v>2213</v>
      </c>
      <c r="F3" s="19">
        <f>E3*'Dashboard Data'!$B$4</f>
        <v>6639</v>
      </c>
      <c r="H3" t="s">
        <v>0</v>
      </c>
      <c r="I3" s="6">
        <f>'Inventory Analysis'!N7</f>
        <v>695</v>
      </c>
      <c r="J3" s="6">
        <f>'Inventory Analysis'!Q7</f>
        <v>710</v>
      </c>
      <c r="L3" t="s">
        <v>0</v>
      </c>
      <c r="M3" s="6">
        <f>'Inventory Analysis'!K7</f>
        <v>186</v>
      </c>
      <c r="N3" s="7">
        <f>MAX('1st Division'!P5:P11)</f>
        <v>200.5</v>
      </c>
      <c r="O3" s="18">
        <f>COUNTIF('1st Division'!P5:P11, "&lt;="&amp;M3)/COUNT('1st Division'!P5:P11)</f>
        <v>0.7142857142857143</v>
      </c>
      <c r="P3" s="6">
        <f>'Inventory Analysis'!Q7-'Inventory Analysis'!N7</f>
        <v>15</v>
      </c>
    </row>
    <row r="4" spans="1:16" x14ac:dyDescent="0.3">
      <c r="A4" t="s">
        <v>77</v>
      </c>
      <c r="B4" s="19">
        <f>B2+B3</f>
        <v>3</v>
      </c>
      <c r="H4" t="s">
        <v>1</v>
      </c>
      <c r="I4" s="6">
        <f>'Inventory Analysis'!N13</f>
        <v>701</v>
      </c>
      <c r="J4" s="6">
        <f>'Inventory Analysis'!Q13</f>
        <v>757</v>
      </c>
      <c r="L4" t="s">
        <v>1</v>
      </c>
      <c r="M4" s="6">
        <f>'Inventory Analysis'!K13</f>
        <v>163</v>
      </c>
      <c r="N4" s="7">
        <f>MAX('2nd Division'!P5:P11)</f>
        <v>218.75</v>
      </c>
      <c r="O4" s="18">
        <f>COUNTIF('2nd Division'!P5:P11, "&lt;="&amp;M4)/COUNT('2nd Division'!P5:P11)</f>
        <v>0.8571428571428571</v>
      </c>
      <c r="P4" s="6">
        <f>'Inventory Analysis'!Q13-'Inventory Analysis'!N13</f>
        <v>56</v>
      </c>
    </row>
    <row r="5" spans="1:16" x14ac:dyDescent="0.3">
      <c r="D5" t="s">
        <v>72</v>
      </c>
      <c r="E5" s="6">
        <f>E3-E2</f>
        <v>174</v>
      </c>
      <c r="H5" t="s">
        <v>2</v>
      </c>
      <c r="I5" s="6">
        <f>'Inventory Analysis'!N19</f>
        <v>643</v>
      </c>
      <c r="J5" s="6">
        <f>'Inventory Analysis'!Q19</f>
        <v>746</v>
      </c>
      <c r="L5" t="s">
        <v>2</v>
      </c>
      <c r="M5" s="6">
        <f>'Inventory Analysis'!K19</f>
        <v>174</v>
      </c>
      <c r="N5" s="7">
        <f>MAX('3rd Division'!P5:P11)</f>
        <v>276.10000000000002</v>
      </c>
      <c r="O5" s="18">
        <f>COUNTIF('3rd Division'!P5:P11, "&lt;="&amp;M5)/COUNT('3rd Division'!P5:P11)</f>
        <v>0.8571428571428571</v>
      </c>
      <c r="P5" s="6">
        <f>'Inventory Analysis'!Q19-'Inventory Analysis'!N19</f>
        <v>103</v>
      </c>
    </row>
    <row r="6" spans="1:16" x14ac:dyDescent="0.3">
      <c r="D6" t="s">
        <v>83</v>
      </c>
      <c r="F6" s="19">
        <f>F3-F2</f>
        <v>522</v>
      </c>
    </row>
    <row r="7" spans="1:16" x14ac:dyDescent="0.3">
      <c r="D7" t="s">
        <v>84</v>
      </c>
      <c r="F7" s="18">
        <f>IFERROR(E5/E2,0)</f>
        <v>8.5335948994605199E-2</v>
      </c>
    </row>
  </sheetData>
  <pageMargins left="0.7" right="0.7" top="0.75" bottom="0.75" header="0.3" footer="0.3"/>
  <pageSetup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Historical Data</vt:lpstr>
      <vt:lpstr>1st Division</vt:lpstr>
      <vt:lpstr>2nd Division</vt:lpstr>
      <vt:lpstr>3rd Division</vt:lpstr>
      <vt:lpstr>Model Comparison</vt:lpstr>
      <vt:lpstr>Inventory Analysis</vt:lpstr>
      <vt:lpstr>2027 Inventory Forecast</vt:lpstr>
      <vt:lpstr>Dashboard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2026-10-14T21:04:57Z</dcterms:created>
  <dcterms:modified xsi:type="dcterms:W3CDTF">2026-10-15T16:20:17Z</dcterms:modified>
</cp:coreProperties>
</file>